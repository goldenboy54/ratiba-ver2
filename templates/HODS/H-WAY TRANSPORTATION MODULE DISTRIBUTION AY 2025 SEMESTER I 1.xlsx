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org\Desktop\"/>
    </mc:Choice>
  </mc:AlternateContent>
  <bookViews>
    <workbookView xWindow="-105" yWindow="-105" windowWidth="23250" windowHeight="12450"/>
  </bookViews>
  <sheets>
    <sheet name="CIVIL + TRANSPORTATION" sheetId="1" r:id="rId1"/>
  </sheets>
  <definedNames>
    <definedName name="_xlnm.Print_Area" localSheetId="0">'CIVIL + TRANSPORTATION'!$B$2:$I$200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5" i="1" l="1"/>
  <c r="F188" i="1"/>
  <c r="F171" i="1"/>
  <c r="F159" i="1"/>
  <c r="F128" i="1"/>
  <c r="F139" i="1"/>
  <c r="F152" i="1"/>
  <c r="F116" i="1"/>
  <c r="F107" i="1"/>
  <c r="F90" i="1"/>
  <c r="F82" i="1"/>
  <c r="F68" i="1"/>
  <c r="F57" i="1"/>
  <c r="F44" i="1"/>
  <c r="F36" i="1"/>
  <c r="F25" i="1"/>
  <c r="F17" i="1"/>
</calcChain>
</file>

<file path=xl/sharedStrings.xml><?xml version="1.0" encoding="utf-8"?>
<sst xmlns="http://schemas.openxmlformats.org/spreadsheetml/2006/main" count="590" uniqueCount="273">
  <si>
    <t>S/N</t>
  </si>
  <si>
    <t>Module Name</t>
  </si>
  <si>
    <t>Module code</t>
  </si>
  <si>
    <t>NTA Level</t>
  </si>
  <si>
    <t>CREDITS</t>
  </si>
  <si>
    <t>LTP HOURS</t>
  </si>
  <si>
    <t>FACILITATOR</t>
  </si>
  <si>
    <t>Structural Steel Design</t>
  </si>
  <si>
    <t>Soil Mechanics</t>
  </si>
  <si>
    <t>Engineering Hydrology</t>
  </si>
  <si>
    <t>Mabojano J</t>
  </si>
  <si>
    <t>Bungara S</t>
  </si>
  <si>
    <t>Kamlenga M</t>
  </si>
  <si>
    <t>Lusato K</t>
  </si>
  <si>
    <t>Civil Engineering Material</t>
  </si>
  <si>
    <t>Construction Management</t>
  </si>
  <si>
    <t>Engineering Geology</t>
  </si>
  <si>
    <t>Mzollah A</t>
  </si>
  <si>
    <t>Allan N</t>
  </si>
  <si>
    <t>Cyliacus S</t>
  </si>
  <si>
    <t>Entrepreneurship for Engineers</t>
  </si>
  <si>
    <t>Structural Timber Design</t>
  </si>
  <si>
    <t>Magige J</t>
  </si>
  <si>
    <t>ARUSHA TECHNICAL COLLEGE (ATC)</t>
  </si>
  <si>
    <t>CIVIL ENGINEERING AND TRANSPORTATION ENGINEERING DEPARTMENTS</t>
  </si>
  <si>
    <t>Dr. Upendo E. Msovu</t>
  </si>
  <si>
    <t>Date:</t>
  </si>
  <si>
    <t>Eng.Thomas I Chuwa</t>
  </si>
  <si>
    <t xml:space="preserve"> HoD -CED</t>
  </si>
  <si>
    <t>…...............................</t>
  </si>
  <si>
    <t xml:space="preserve"> HoD -TED</t>
  </si>
  <si>
    <t>Basic Computer Application</t>
  </si>
  <si>
    <t>Advanced Statistics</t>
  </si>
  <si>
    <t>GSU 07311</t>
  </si>
  <si>
    <t>Geotechnical Engineering</t>
  </si>
  <si>
    <t>CIU 07311</t>
  </si>
  <si>
    <t>CIU 07312</t>
  </si>
  <si>
    <t>CIU 07313</t>
  </si>
  <si>
    <t>CIU 07314</t>
  </si>
  <si>
    <t>CIU 07315</t>
  </si>
  <si>
    <t>CIU 07316</t>
  </si>
  <si>
    <t>CIU 07317</t>
  </si>
  <si>
    <t>Structural Analysis</t>
  </si>
  <si>
    <t>Reinforced Concrete Design I</t>
  </si>
  <si>
    <t>Open Channel Hydraulics</t>
  </si>
  <si>
    <t>Engineering Hydrology and Meteorology</t>
  </si>
  <si>
    <t>River and Reservoir Operation</t>
  </si>
  <si>
    <t>Design of Pressurized Irrigation System</t>
  </si>
  <si>
    <t>CEU 07311</t>
  </si>
  <si>
    <t>CEU 07312</t>
  </si>
  <si>
    <t>CEU 07313</t>
  </si>
  <si>
    <t>CEU 07314</t>
  </si>
  <si>
    <t>CEU 07315</t>
  </si>
  <si>
    <t>CEU 07316</t>
  </si>
  <si>
    <t>Building Construction and Maintenance</t>
  </si>
  <si>
    <t>Basic Engineering Drawing</t>
  </si>
  <si>
    <t>Construction Technology (Masonry, Carpentry)</t>
  </si>
  <si>
    <t>CIT 04115</t>
  </si>
  <si>
    <t>Basics of Irrigation Engineering</t>
  </si>
  <si>
    <t>CET 04115</t>
  </si>
  <si>
    <t>Algebra and Trigonometry</t>
  </si>
  <si>
    <t>GST 04111</t>
  </si>
  <si>
    <t>GST/ITT 04117</t>
  </si>
  <si>
    <t>CIT/CET/CHT 04111</t>
  </si>
  <si>
    <t>CIT/CET/CHT 04113</t>
  </si>
  <si>
    <t>Basic Labour Based Road Engineering</t>
  </si>
  <si>
    <t>CHT 04115</t>
  </si>
  <si>
    <t>CIT/CET/CHT 04114</t>
  </si>
  <si>
    <t>CIT/CET/CHT 04112</t>
  </si>
  <si>
    <t>Musa A</t>
  </si>
  <si>
    <t>Engineering Surveying</t>
  </si>
  <si>
    <t>Engineering Drawing (CAD)</t>
  </si>
  <si>
    <t>Water Supply and Sanitation</t>
  </si>
  <si>
    <t>Cyliacus , S</t>
  </si>
  <si>
    <t>Hydraulics and Fluid Mechanics I</t>
  </si>
  <si>
    <t>Introduction to Irrigation Engineering</t>
  </si>
  <si>
    <t>Irrigation Water Supply</t>
  </si>
  <si>
    <t>Collection and Analysis of Hydrological Data</t>
  </si>
  <si>
    <t>Soil Analysis for Irrigation</t>
  </si>
  <si>
    <t>Irrigation Surveying</t>
  </si>
  <si>
    <t>Project I (Introduction to Research Methodology and Project Proposal Writing)</t>
  </si>
  <si>
    <t>CED 06125</t>
  </si>
  <si>
    <t>CED 06119</t>
  </si>
  <si>
    <t>CIT 06101</t>
  </si>
  <si>
    <t>CIT 06102</t>
  </si>
  <si>
    <t>CIT 06103</t>
  </si>
  <si>
    <t>CIT 06104</t>
  </si>
  <si>
    <t>CIT 06105</t>
  </si>
  <si>
    <t>CIT 06125</t>
  </si>
  <si>
    <t>Lusato, K</t>
  </si>
  <si>
    <t xml:space="preserve">Building Construction </t>
  </si>
  <si>
    <t>Reinforced Cement Concrete Design</t>
  </si>
  <si>
    <t>Soil Mechanics and Foundations</t>
  </si>
  <si>
    <t xml:space="preserve">Architectural Design and Drawing </t>
  </si>
  <si>
    <t>CED 06120</t>
  </si>
  <si>
    <t>CED 06121</t>
  </si>
  <si>
    <t>CED 06122</t>
  </si>
  <si>
    <t>CED 06123</t>
  </si>
  <si>
    <t>CED 06124</t>
  </si>
  <si>
    <t>Migunzu, R</t>
  </si>
  <si>
    <t xml:space="preserve">Allan ,N </t>
  </si>
  <si>
    <t xml:space="preserve">Route Design </t>
  </si>
  <si>
    <t xml:space="preserve">Soil Mechanics and Foundations </t>
  </si>
  <si>
    <t>Basic Bridge Construction and Maintenance</t>
  </si>
  <si>
    <t>CHT 06120</t>
  </si>
  <si>
    <t>CHT 06129</t>
  </si>
  <si>
    <t>CHT 06121</t>
  </si>
  <si>
    <t>CHT 06124</t>
  </si>
  <si>
    <t>CHT 06123</t>
  </si>
  <si>
    <t>CHT 06122</t>
  </si>
  <si>
    <t>CHT 06126</t>
  </si>
  <si>
    <t>CHT 06125</t>
  </si>
  <si>
    <t>Engineering surveying</t>
  </si>
  <si>
    <t>Building planning and Drawing</t>
  </si>
  <si>
    <t xml:space="preserve">Construction Technology </t>
  </si>
  <si>
    <t>Basics of Soil Mechanics</t>
  </si>
  <si>
    <t>CIU/CEU 07114</t>
  </si>
  <si>
    <t>CIU/CEU 07115</t>
  </si>
  <si>
    <t>CIU 07116</t>
  </si>
  <si>
    <t>Dotto J</t>
  </si>
  <si>
    <t>Building Construction</t>
  </si>
  <si>
    <t>Strength of Materials</t>
  </si>
  <si>
    <t>CHU 07114</t>
  </si>
  <si>
    <t>CHU 07115</t>
  </si>
  <si>
    <t>Transportation Engineering</t>
  </si>
  <si>
    <t>CHU 07312</t>
  </si>
  <si>
    <t>CHU 07313</t>
  </si>
  <si>
    <t>CHU 07314</t>
  </si>
  <si>
    <t>CHU 07315</t>
  </si>
  <si>
    <t>CHU 07316</t>
  </si>
  <si>
    <t>CHU 07317</t>
  </si>
  <si>
    <t>CHU 07318</t>
  </si>
  <si>
    <t>Bungara, S</t>
  </si>
  <si>
    <t>Reinforced Concrete Design</t>
  </si>
  <si>
    <t>Social and Environmental Management Planning</t>
  </si>
  <si>
    <t>Contract Management</t>
  </si>
  <si>
    <t>Groundwater Engineering</t>
  </si>
  <si>
    <t>Site Management</t>
  </si>
  <si>
    <t>Water Supply and Public Health Engineering</t>
  </si>
  <si>
    <t>Project I</t>
  </si>
  <si>
    <t>CIU 08101</t>
  </si>
  <si>
    <t>CIU 08102</t>
  </si>
  <si>
    <t>CIU 08103</t>
  </si>
  <si>
    <t>CIU 08104</t>
  </si>
  <si>
    <t>CIU 08105</t>
  </si>
  <si>
    <t>CIU 08106</t>
  </si>
  <si>
    <t>CIU 08107</t>
  </si>
  <si>
    <t>Dr. Mhando, Y /Chuwa T</t>
  </si>
  <si>
    <t>CHU 08101</t>
  </si>
  <si>
    <t>CHU 08102</t>
  </si>
  <si>
    <t>CHU 08103</t>
  </si>
  <si>
    <t>CHU 08104</t>
  </si>
  <si>
    <t>CHU 08105</t>
  </si>
  <si>
    <t>CHU 08106</t>
  </si>
  <si>
    <t>CHU 08107</t>
  </si>
  <si>
    <t>CHU 08108</t>
  </si>
  <si>
    <t>CHU 08109</t>
  </si>
  <si>
    <t>CHU 08110</t>
  </si>
  <si>
    <t>CHU 08111</t>
  </si>
  <si>
    <t>Design software Practices</t>
  </si>
  <si>
    <t>Solid Waste Management</t>
  </si>
  <si>
    <t>Project Data Collection</t>
  </si>
  <si>
    <t>Bridge Design,Construction and Maintenance</t>
  </si>
  <si>
    <t>Construction Technology Services</t>
  </si>
  <si>
    <t xml:space="preserve">Engineering Economics and Project Appraisal </t>
  </si>
  <si>
    <t>Soil Technology</t>
  </si>
  <si>
    <t>Highway Engineering Material</t>
  </si>
  <si>
    <t>Hydraulic Structures</t>
  </si>
  <si>
    <t>Chuwa T</t>
  </si>
  <si>
    <t>Juma S</t>
  </si>
  <si>
    <t>Differentiation and Integration</t>
  </si>
  <si>
    <t>GST 05111</t>
  </si>
  <si>
    <t>Principles of thermodynamics, waves and
Polymer</t>
  </si>
  <si>
    <t>GST 05112</t>
  </si>
  <si>
    <t xml:space="preserve">Civil Engineering  Materials </t>
  </si>
  <si>
    <t>Coordinate Geometry and Differential Equations</t>
  </si>
  <si>
    <t>GST 06101</t>
  </si>
  <si>
    <t>Correspondence and Report Writing</t>
  </si>
  <si>
    <t>GST 06102</t>
  </si>
  <si>
    <t>Advanced Calculus</t>
  </si>
  <si>
    <t>GSU 07111</t>
  </si>
  <si>
    <t>Technical Communication Skills</t>
  </si>
  <si>
    <t>GSU 07113</t>
  </si>
  <si>
    <t>Entrepreneurship</t>
  </si>
  <si>
    <t>GSU 07114</t>
  </si>
  <si>
    <t>Introduction to Soil Science</t>
  </si>
  <si>
    <t>GSU 08101</t>
  </si>
  <si>
    <t>Aluminium and finishing work in building. (Aluminium fixing, Painting, Wallpaper, Tiles, Terrazzo and Decor)</t>
  </si>
  <si>
    <t>Fundamental of Soil Science</t>
  </si>
  <si>
    <t>CIT 05226</t>
  </si>
  <si>
    <t>Road Design</t>
  </si>
  <si>
    <t xml:space="preserve">Traffic and Transportation Engineering </t>
  </si>
  <si>
    <t>Highway Geometric Design</t>
  </si>
  <si>
    <t>CHU 07311</t>
  </si>
  <si>
    <t>Measurement and Estimation of Civil Works</t>
  </si>
  <si>
    <t>Construction Technology</t>
  </si>
  <si>
    <t xml:space="preserve">Kitange (L) </t>
  </si>
  <si>
    <t xml:space="preserve">Msuya E (L) </t>
  </si>
  <si>
    <t>Rogate K, Lucas, Adam (P)</t>
  </si>
  <si>
    <t>Yona A</t>
  </si>
  <si>
    <t>Zawadiel</t>
  </si>
  <si>
    <t>Manase E</t>
  </si>
  <si>
    <t>Mjebe F</t>
  </si>
  <si>
    <t>Salvatory S</t>
  </si>
  <si>
    <t>Saidi I</t>
  </si>
  <si>
    <t>Chacha N</t>
  </si>
  <si>
    <t>Bahati S</t>
  </si>
  <si>
    <t>Dr. Upendo M</t>
  </si>
  <si>
    <t>Magania F</t>
  </si>
  <si>
    <t>Richard I</t>
  </si>
  <si>
    <t>Kitange G</t>
  </si>
  <si>
    <t>Migunzu/Dotto/Kamlenga/Bahati (P)</t>
  </si>
  <si>
    <t>Dotto/Migunzu/Kitange/ Kamlenga/Bahati (P)</t>
  </si>
  <si>
    <t>Paul N</t>
  </si>
  <si>
    <t>Humuri H/Kamlenga M</t>
  </si>
  <si>
    <t>Bahati S (L)</t>
  </si>
  <si>
    <t>Msuya E/Selestine S/Lucas M</t>
  </si>
  <si>
    <t xml:space="preserve">Pavement Materials </t>
  </si>
  <si>
    <t>Humuri H</t>
  </si>
  <si>
    <t>Sarah K</t>
  </si>
  <si>
    <t>Meshack T</t>
  </si>
  <si>
    <t>Migunzu/Damian</t>
  </si>
  <si>
    <t xml:space="preserve">Humuri H </t>
  </si>
  <si>
    <t>Kawamala M/Mjebe F</t>
  </si>
  <si>
    <t>TOTAL</t>
  </si>
  <si>
    <t>TOTAL NUMBER OF STUDENTS = 270</t>
  </si>
  <si>
    <t>Soil and Bitumen Laboratory</t>
  </si>
  <si>
    <t>PRACTICAL ROOM/WORKSHOP</t>
  </si>
  <si>
    <t>NTA LEVEL 4 _CROSS CUTTING MODULES</t>
  </si>
  <si>
    <t>Computer Lab</t>
  </si>
  <si>
    <t>Masonry &amp; Soil and Bitumen Laboratory</t>
  </si>
  <si>
    <t>NTA 04_CIVIL, CIVIL AND IRRIGATION &amp; CIVIL AND HIGHWAY ENGINEERING</t>
  </si>
  <si>
    <t>NTA LEVEL 5 _CROSS CUTTING MODULES</t>
  </si>
  <si>
    <t>NTA 05_CIVIL, CIVIL AND IRRIGATION &amp; CIVIL AND HIGHWAY ENGINEERING</t>
  </si>
  <si>
    <t>TOTAL NUMBER OF STUDENTS = 200</t>
  </si>
  <si>
    <t>CET/CIT 05111/CHT 05120</t>
  </si>
  <si>
    <t>CET/CIT 05112/CHT 05121</t>
  </si>
  <si>
    <t>CET/CIT 05113/CHT 05122</t>
  </si>
  <si>
    <t>CET/CIT 05114/CHT 05123</t>
  </si>
  <si>
    <t>CET/CIT 05115/CHT 05124</t>
  </si>
  <si>
    <t>NTA 06_CIVIL AND IRRIGATION ENGINEERING</t>
  </si>
  <si>
    <t>NTA 06_CIVIL AND HIGHWAY ENGINEERING</t>
  </si>
  <si>
    <t>NTA 06_CIVIL ENGINEERING</t>
  </si>
  <si>
    <t>Hydraulic Lab</t>
  </si>
  <si>
    <t>NTA LEVEL 6 _CROSS CUTTING MODULES</t>
  </si>
  <si>
    <t>NTA 06_CIVIL, CIVIL AND IRRIGATION &amp; CIVIL AND HIGHWAY ENGINEERING</t>
  </si>
  <si>
    <t>NTA 7-8 MODULE DISTRIBUTION FOR SEMESTER I &amp; III ACADEMIC YEAR 2024/2025</t>
  </si>
  <si>
    <t>CIU/CEU/CHU 07111</t>
  </si>
  <si>
    <t>CIU/CEU/CHU 07112</t>
  </si>
  <si>
    <t>CIU/CEU/CHU 07113</t>
  </si>
  <si>
    <t>7-1</t>
  </si>
  <si>
    <t>TOTAL NUMBER OF STUDENTS = 150</t>
  </si>
  <si>
    <t>NTA LEVEL 7-1 _CROSS CUTTING MODULES</t>
  </si>
  <si>
    <t>7-2</t>
  </si>
  <si>
    <t>NTA 7-2_CIVIL AND HIGHWAY ENGINEERING_SEMESTER III AY 2024/2025</t>
  </si>
  <si>
    <t>NTA 7-2_CIVIL ENGINEERING_SEMESTER III AY 2024/2025</t>
  </si>
  <si>
    <t>NTA 7-2_CIVIL AND IRRIGATION ENGINEERING_SEMESTER III AY 2024/2025</t>
  </si>
  <si>
    <t>NTA 7-1_CIVIL, CIVIL &amp; IRRIGATION &amp; CIVIL AND HIGHWAY ENGINEERING_SEM I AY 2024/2025</t>
  </si>
  <si>
    <t>TOTAL NUMBER OF STUDENTS = 20</t>
  </si>
  <si>
    <t>TOTAL NUMBER OF STUDENTS = 60</t>
  </si>
  <si>
    <t>NTA 8_CIVIL AND IRRIGATION ENGINEERING_SEMESTER I AY 2024/2025</t>
  </si>
  <si>
    <t>NTA 8_CIVIL AND HIGHWAY ENGINEERING_SEMESTER I AY 2024/2025</t>
  </si>
  <si>
    <t>NTA LEVEL 7-2_CROSS CUTTING MODULES</t>
  </si>
  <si>
    <t>NTA 7-2_CIVIL, CIVIL &amp; IRRIGATION &amp; CIVIL AND HIGHWAY ENGINEERING_SEM III AY 2024/2025</t>
  </si>
  <si>
    <t>TOTAL NUMBER OF STUDENTS = 10</t>
  </si>
  <si>
    <t>NTA LEVEL 8_CROSS CUTTING MODULES</t>
  </si>
  <si>
    <t>TOTAL NUMBER OF STUDENTS = 70</t>
  </si>
  <si>
    <t>Soil and Plant Laboratory</t>
  </si>
  <si>
    <t>-</t>
  </si>
  <si>
    <t>NTA 8_CIVIL AND IRRIGATION &amp; CIVIL AND HIGHWAY ENGINEERING_SEM I AY 2024/2025</t>
  </si>
  <si>
    <t>Masonry &amp; Carpentry Workshop</t>
  </si>
  <si>
    <t>NTA 4-6 MODULE DISTRIBUTION FOR SEMESTER I &amp; III ACADEMIC YEAR 2024/2025</t>
  </si>
  <si>
    <t>Kadinde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</si>
</sst>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/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249977111117893"/>
      </top>
      <bottom/>
      <diagonal/>
    </border>
    <border>
      <left style="medium">
        <color indexed="64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4" fillId="0" borderId="0" applyFont="0" applyFill="0" applyBorder="0" applyAlignment="0" applyProtection="0"/>
  </cellStyleXfs>
  <cellXfs count="166">
    <xf numFmtId="0" fontId="0" fillId="0" borderId="0" xfId="0"/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164" fontId="8" fillId="2" borderId="0" xfId="3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5" fillId="2" borderId="9" xfId="2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5" fillId="2" borderId="13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center" vertical="center"/>
    </xf>
    <xf numFmtId="0" fontId="5" fillId="2" borderId="7" xfId="3" applyNumberFormat="1" applyFont="1" applyFill="1" applyBorder="1" applyAlignment="1">
      <alignment horizontal="center" vertical="center"/>
    </xf>
    <xf numFmtId="0" fontId="5" fillId="2" borderId="8" xfId="3" applyNumberFormat="1" applyFont="1" applyFill="1" applyBorder="1" applyAlignment="1">
      <alignment horizontal="center" vertical="center"/>
    </xf>
    <xf numFmtId="0" fontId="5" fillId="2" borderId="9" xfId="3" applyNumberFormat="1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center" vertical="center"/>
    </xf>
    <xf numFmtId="164" fontId="8" fillId="2" borderId="2" xfId="3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23" xfId="2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6" fillId="2" borderId="25" xfId="2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3" borderId="6" xfId="2" applyFont="1" applyFill="1" applyBorder="1" applyAlignment="1">
      <alignment horizontal="left" vertical="center"/>
    </xf>
    <xf numFmtId="0" fontId="5" fillId="2" borderId="7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8" xfId="2" applyFont="1" applyFill="1" applyBorder="1" applyAlignment="1">
      <alignment horizontal="left" vertical="center"/>
    </xf>
    <xf numFmtId="0" fontId="7" fillId="2" borderId="7" xfId="0" applyFont="1" applyFill="1" applyBorder="1" applyAlignment="1">
      <alignment vertical="center" wrapText="1"/>
    </xf>
    <xf numFmtId="0" fontId="5" fillId="2" borderId="8" xfId="2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horizontal="center" vertical="center"/>
    </xf>
    <xf numFmtId="0" fontId="5" fillId="2" borderId="9" xfId="2" applyFont="1" applyFill="1" applyBorder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2" borderId="28" xfId="2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6" fillId="2" borderId="3" xfId="2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4" borderId="23" xfId="2" applyFont="1" applyFill="1" applyBorder="1" applyAlignment="1">
      <alignment horizontal="center" vertical="center"/>
    </xf>
    <xf numFmtId="0" fontId="6" fillId="4" borderId="25" xfId="2" applyFont="1" applyFill="1" applyBorder="1" applyAlignment="1">
      <alignment horizontal="center" vertical="center"/>
    </xf>
    <xf numFmtId="0" fontId="6" fillId="4" borderId="24" xfId="2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6" xfId="2" applyFont="1" applyFill="1" applyBorder="1" applyAlignment="1">
      <alignment horizontal="center" vertical="center"/>
    </xf>
    <xf numFmtId="0" fontId="6" fillId="3" borderId="27" xfId="2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left" vertical="center"/>
    </xf>
    <xf numFmtId="0" fontId="6" fillId="3" borderId="25" xfId="0" applyFont="1" applyFill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vertical="center" wrapText="1"/>
    </xf>
  </cellXfs>
  <cellStyles count="4">
    <cellStyle name="Comma" xfId="3" builtinId="3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00"/>
  <sheetViews>
    <sheetView tabSelected="1" view="pageBreakPreview" topLeftCell="A139" zoomScale="76" zoomScaleNormal="70" zoomScaleSheetLayoutView="100" workbookViewId="0">
      <selection activeCell="H134" sqref="H134"/>
    </sheetView>
  </sheetViews>
  <sheetFormatPr defaultColWidth="9.140625" defaultRowHeight="15.75" x14ac:dyDescent="0.25"/>
  <cols>
    <col min="1" max="1" width="9.140625" style="121"/>
    <col min="2" max="2" width="5.5703125" style="126" customWidth="1"/>
    <col min="3" max="3" width="48.140625" style="121" bestFit="1" customWidth="1"/>
    <col min="4" max="4" width="26.85546875" style="126" bestFit="1" customWidth="1"/>
    <col min="5" max="5" width="12.7109375" style="126" customWidth="1"/>
    <col min="6" max="6" width="14" style="126" customWidth="1"/>
    <col min="7" max="7" width="16" style="126" customWidth="1"/>
    <col min="8" max="8" width="43.28515625" style="126" customWidth="1"/>
    <col min="9" max="9" width="24.28515625" style="126" customWidth="1"/>
    <col min="10" max="10" width="9.140625" style="121"/>
    <col min="11" max="11" width="13.85546875" style="121" bestFit="1" customWidth="1"/>
    <col min="12" max="12" width="11.7109375" style="121" bestFit="1" customWidth="1"/>
    <col min="13" max="13" width="10.28515625" style="121" bestFit="1" customWidth="1"/>
    <col min="14" max="14" width="13.140625" style="121" bestFit="1" customWidth="1"/>
    <col min="15" max="15" width="16.28515625" style="121" bestFit="1" customWidth="1"/>
    <col min="16" max="16384" width="9.140625" style="121"/>
  </cols>
  <sheetData>
    <row r="1" spans="2:9" ht="16.5" thickBot="1" x14ac:dyDescent="0.3">
      <c r="B1" s="1"/>
      <c r="C1" s="68"/>
      <c r="D1" s="1"/>
      <c r="E1" s="1"/>
      <c r="F1" s="1"/>
      <c r="G1" s="1"/>
      <c r="H1" s="1"/>
      <c r="I1" s="1"/>
    </row>
    <row r="2" spans="2:9" ht="18.75" x14ac:dyDescent="0.25">
      <c r="B2" s="145" t="s">
        <v>23</v>
      </c>
      <c r="C2" s="146"/>
      <c r="D2" s="146"/>
      <c r="E2" s="146"/>
      <c r="F2" s="146"/>
      <c r="G2" s="146"/>
      <c r="H2" s="146"/>
      <c r="I2" s="147"/>
    </row>
    <row r="3" spans="2:9" ht="18.75" x14ac:dyDescent="0.25">
      <c r="B3" s="148" t="s">
        <v>24</v>
      </c>
      <c r="C3" s="149"/>
      <c r="D3" s="149"/>
      <c r="E3" s="149"/>
      <c r="F3" s="149"/>
      <c r="G3" s="149"/>
      <c r="H3" s="149"/>
      <c r="I3" s="150"/>
    </row>
    <row r="4" spans="2:9" ht="18.75" x14ac:dyDescent="0.25">
      <c r="B4" s="148" t="s">
        <v>271</v>
      </c>
      <c r="C4" s="149"/>
      <c r="D4" s="149"/>
      <c r="E4" s="149"/>
      <c r="F4" s="149"/>
      <c r="G4" s="149"/>
      <c r="H4" s="149"/>
      <c r="I4" s="150"/>
    </row>
    <row r="5" spans="2:9" ht="16.5" thickBot="1" x14ac:dyDescent="0.3">
      <c r="B5" s="142"/>
      <c r="C5" s="143"/>
      <c r="D5" s="143"/>
      <c r="E5" s="143"/>
      <c r="F5" s="143"/>
      <c r="G5" s="143"/>
      <c r="H5" s="143"/>
      <c r="I5" s="144"/>
    </row>
    <row r="6" spans="2:9" ht="16.5" thickBot="1" x14ac:dyDescent="0.3">
      <c r="B6" s="130" t="s">
        <v>231</v>
      </c>
      <c r="C6" s="131"/>
      <c r="D6" s="131"/>
      <c r="E6" s="131"/>
      <c r="F6" s="132"/>
      <c r="G6" s="133" t="s">
        <v>5</v>
      </c>
      <c r="H6" s="133" t="s">
        <v>6</v>
      </c>
      <c r="I6" s="137" t="s">
        <v>227</v>
      </c>
    </row>
    <row r="7" spans="2:9" s="122" customFormat="1" ht="16.5" thickBot="1" x14ac:dyDescent="0.3">
      <c r="B7" s="9" t="s">
        <v>0</v>
      </c>
      <c r="C7" s="69" t="s">
        <v>1</v>
      </c>
      <c r="D7" s="9" t="s">
        <v>2</v>
      </c>
      <c r="E7" s="9" t="s">
        <v>3</v>
      </c>
      <c r="F7" s="9" t="s">
        <v>4</v>
      </c>
      <c r="G7" s="134"/>
      <c r="H7" s="134"/>
      <c r="I7" s="138"/>
    </row>
    <row r="8" spans="2:9" s="122" customFormat="1" x14ac:dyDescent="0.25">
      <c r="B8" s="10">
        <v>1</v>
      </c>
      <c r="C8" s="13" t="s">
        <v>54</v>
      </c>
      <c r="D8" s="17" t="s">
        <v>63</v>
      </c>
      <c r="E8" s="10">
        <v>4</v>
      </c>
      <c r="F8" s="20">
        <v>9</v>
      </c>
      <c r="G8" s="10">
        <v>6</v>
      </c>
      <c r="H8" s="20" t="s">
        <v>221</v>
      </c>
      <c r="I8" s="164" t="s">
        <v>268</v>
      </c>
    </row>
    <row r="9" spans="2:9" s="122" customFormat="1" ht="15.75" customHeight="1" x14ac:dyDescent="0.25">
      <c r="B9" s="155">
        <v>2</v>
      </c>
      <c r="C9" s="157" t="s">
        <v>8</v>
      </c>
      <c r="D9" s="156" t="s">
        <v>68</v>
      </c>
      <c r="E9" s="155">
        <v>4</v>
      </c>
      <c r="F9" s="161">
        <v>10</v>
      </c>
      <c r="G9" s="155">
        <v>7</v>
      </c>
      <c r="H9" s="163" t="s">
        <v>196</v>
      </c>
      <c r="I9" s="165"/>
    </row>
    <row r="10" spans="2:9" s="122" customFormat="1" ht="31.5" x14ac:dyDescent="0.25">
      <c r="B10" s="155"/>
      <c r="C10" s="157"/>
      <c r="D10" s="156"/>
      <c r="E10" s="155"/>
      <c r="F10" s="161"/>
      <c r="G10" s="155"/>
      <c r="H10" s="21" t="s">
        <v>211</v>
      </c>
      <c r="I10" s="162" t="s">
        <v>226</v>
      </c>
    </row>
    <row r="11" spans="2:9" s="122" customFormat="1" x14ac:dyDescent="0.25">
      <c r="B11" s="11">
        <v>3</v>
      </c>
      <c r="C11" s="14" t="s">
        <v>55</v>
      </c>
      <c r="D11" s="18" t="s">
        <v>64</v>
      </c>
      <c r="E11" s="11">
        <v>4</v>
      </c>
      <c r="F11" s="23">
        <v>9</v>
      </c>
      <c r="G11" s="11">
        <v>6</v>
      </c>
      <c r="H11" s="21" t="s">
        <v>209</v>
      </c>
      <c r="I11" s="120" t="s">
        <v>268</v>
      </c>
    </row>
    <row r="12" spans="2:9" s="122" customFormat="1" ht="19.899999999999999" customHeight="1" x14ac:dyDescent="0.25">
      <c r="B12" s="155">
        <v>4</v>
      </c>
      <c r="C12" s="157" t="s">
        <v>56</v>
      </c>
      <c r="D12" s="156" t="s">
        <v>67</v>
      </c>
      <c r="E12" s="155">
        <v>4</v>
      </c>
      <c r="F12" s="160">
        <v>9</v>
      </c>
      <c r="G12" s="155">
        <v>6</v>
      </c>
      <c r="H12" s="163" t="s">
        <v>197</v>
      </c>
      <c r="I12" s="165"/>
    </row>
    <row r="13" spans="2:9" s="122" customFormat="1" ht="31.5" x14ac:dyDescent="0.25">
      <c r="B13" s="155"/>
      <c r="C13" s="157"/>
      <c r="D13" s="156"/>
      <c r="E13" s="155"/>
      <c r="F13" s="160"/>
      <c r="G13" s="155"/>
      <c r="H13" s="23" t="s">
        <v>198</v>
      </c>
      <c r="I13" s="162" t="s">
        <v>270</v>
      </c>
    </row>
    <row r="14" spans="2:9" s="122" customFormat="1" x14ac:dyDescent="0.25">
      <c r="B14" s="11">
        <v>5</v>
      </c>
      <c r="C14" s="15" t="s">
        <v>58</v>
      </c>
      <c r="D14" s="18" t="s">
        <v>57</v>
      </c>
      <c r="E14" s="11">
        <v>4</v>
      </c>
      <c r="F14" s="23">
        <v>10</v>
      </c>
      <c r="G14" s="11">
        <v>7</v>
      </c>
      <c r="H14" s="21" t="s">
        <v>69</v>
      </c>
      <c r="I14" s="21" t="s">
        <v>268</v>
      </c>
    </row>
    <row r="15" spans="2:9" s="122" customFormat="1" ht="40.15" customHeight="1" x14ac:dyDescent="0.25">
      <c r="B15" s="11">
        <v>6</v>
      </c>
      <c r="C15" s="14" t="s">
        <v>187</v>
      </c>
      <c r="D15" s="18" t="s">
        <v>59</v>
      </c>
      <c r="E15" s="11">
        <v>4</v>
      </c>
      <c r="F15" s="23">
        <v>10</v>
      </c>
      <c r="G15" s="11">
        <v>7</v>
      </c>
      <c r="H15" s="21" t="s">
        <v>216</v>
      </c>
      <c r="I15" s="135" t="s">
        <v>270</v>
      </c>
    </row>
    <row r="16" spans="2:9" s="122" customFormat="1" ht="16.5" thickBot="1" x14ac:dyDescent="0.3">
      <c r="B16" s="12">
        <v>7</v>
      </c>
      <c r="C16" s="16" t="s">
        <v>65</v>
      </c>
      <c r="D16" s="19" t="s">
        <v>66</v>
      </c>
      <c r="E16" s="12">
        <v>4</v>
      </c>
      <c r="F16" s="24">
        <v>12</v>
      </c>
      <c r="G16" s="12">
        <v>8</v>
      </c>
      <c r="H16" s="22" t="s">
        <v>205</v>
      </c>
      <c r="I16" s="136"/>
    </row>
    <row r="17" spans="2:9" s="122" customFormat="1" ht="16.5" thickBot="1" x14ac:dyDescent="0.3">
      <c r="B17" s="60"/>
      <c r="C17" s="61"/>
      <c r="D17" s="62"/>
      <c r="E17" s="65" t="s">
        <v>224</v>
      </c>
      <c r="F17" s="66">
        <f>SUM(F8:F16)</f>
        <v>69</v>
      </c>
      <c r="G17" s="63"/>
      <c r="H17" s="95" t="s">
        <v>225</v>
      </c>
      <c r="I17" s="64"/>
    </row>
    <row r="18" spans="2:9" s="122" customFormat="1" x14ac:dyDescent="0.25">
      <c r="B18" s="6"/>
      <c r="C18" s="57"/>
      <c r="D18" s="58"/>
      <c r="E18" s="55"/>
      <c r="F18" s="56"/>
      <c r="G18" s="55"/>
      <c r="H18" s="59"/>
      <c r="I18" s="5"/>
    </row>
    <row r="19" spans="2:9" s="122" customFormat="1" ht="16.5" thickBot="1" x14ac:dyDescent="0.3">
      <c r="B19" s="4"/>
      <c r="C19" s="107"/>
      <c r="D19" s="108"/>
      <c r="E19" s="52"/>
      <c r="F19" s="53"/>
      <c r="G19" s="52"/>
      <c r="H19" s="54"/>
      <c r="I19" s="101"/>
    </row>
    <row r="20" spans="2:9" s="122" customFormat="1" ht="16.5" thickBot="1" x14ac:dyDescent="0.3">
      <c r="B20" s="127" t="s">
        <v>228</v>
      </c>
      <c r="C20" s="128"/>
      <c r="D20" s="128"/>
      <c r="E20" s="128"/>
      <c r="F20" s="128"/>
      <c r="G20" s="128"/>
      <c r="H20" s="129"/>
      <c r="I20" s="101"/>
    </row>
    <row r="21" spans="2:9" s="122" customFormat="1" ht="16.149999999999999" customHeight="1" thickBot="1" x14ac:dyDescent="0.3">
      <c r="B21" s="130" t="s">
        <v>231</v>
      </c>
      <c r="C21" s="131"/>
      <c r="D21" s="131"/>
      <c r="E21" s="131"/>
      <c r="F21" s="132"/>
      <c r="G21" s="133" t="s">
        <v>5</v>
      </c>
      <c r="H21" s="133" t="s">
        <v>6</v>
      </c>
      <c r="I21" s="101"/>
    </row>
    <row r="22" spans="2:9" s="122" customFormat="1" ht="16.5" thickBot="1" x14ac:dyDescent="0.3">
      <c r="B22" s="9" t="s">
        <v>0</v>
      </c>
      <c r="C22" s="69" t="s">
        <v>1</v>
      </c>
      <c r="D22" s="9" t="s">
        <v>2</v>
      </c>
      <c r="E22" s="9" t="s">
        <v>3</v>
      </c>
      <c r="F22" s="9" t="s">
        <v>4</v>
      </c>
      <c r="G22" s="134"/>
      <c r="H22" s="134"/>
      <c r="I22" s="101"/>
    </row>
    <row r="23" spans="2:9" s="122" customFormat="1" x14ac:dyDescent="0.25">
      <c r="B23" s="10">
        <v>1</v>
      </c>
      <c r="C23" s="70" t="s">
        <v>60</v>
      </c>
      <c r="D23" s="10" t="s">
        <v>61</v>
      </c>
      <c r="E23" s="10">
        <v>4</v>
      </c>
      <c r="F23" s="10">
        <v>6</v>
      </c>
      <c r="G23" s="10">
        <v>3</v>
      </c>
      <c r="H23" s="20"/>
      <c r="I23" s="101"/>
    </row>
    <row r="24" spans="2:9" s="122" customFormat="1" ht="16.5" thickBot="1" x14ac:dyDescent="0.3">
      <c r="B24" s="12">
        <v>2</v>
      </c>
      <c r="C24" s="71" t="s">
        <v>31</v>
      </c>
      <c r="D24" s="12" t="s">
        <v>62</v>
      </c>
      <c r="E24" s="12">
        <v>4</v>
      </c>
      <c r="F24" s="12">
        <v>6</v>
      </c>
      <c r="G24" s="12">
        <v>3</v>
      </c>
      <c r="H24" s="22"/>
      <c r="I24" s="101"/>
    </row>
    <row r="25" spans="2:9" s="122" customFormat="1" ht="16.5" thickBot="1" x14ac:dyDescent="0.3">
      <c r="B25" s="60"/>
      <c r="C25" s="61"/>
      <c r="D25" s="62"/>
      <c r="E25" s="65" t="s">
        <v>224</v>
      </c>
      <c r="F25" s="66">
        <f>SUM(F23:F24)</f>
        <v>12</v>
      </c>
      <c r="G25" s="63"/>
      <c r="H25" s="95" t="s">
        <v>225</v>
      </c>
      <c r="I25" s="101"/>
    </row>
    <row r="26" spans="2:9" s="122" customFormat="1" x14ac:dyDescent="0.25">
      <c r="B26" s="6"/>
      <c r="C26" s="57"/>
      <c r="D26" s="58"/>
      <c r="E26" s="55"/>
      <c r="F26" s="56"/>
      <c r="G26" s="55"/>
      <c r="H26" s="59"/>
      <c r="I26" s="5"/>
    </row>
    <row r="27" spans="2:9" s="122" customFormat="1" ht="16.5" thickBot="1" x14ac:dyDescent="0.3">
      <c r="B27" s="4"/>
      <c r="C27" s="109"/>
      <c r="D27" s="108"/>
      <c r="E27" s="52"/>
      <c r="F27" s="54"/>
      <c r="G27" s="52"/>
      <c r="H27" s="54"/>
      <c r="I27" s="101"/>
    </row>
    <row r="28" spans="2:9" s="123" customFormat="1" ht="16.5" thickBot="1" x14ac:dyDescent="0.3">
      <c r="B28" s="130" t="s">
        <v>233</v>
      </c>
      <c r="C28" s="131"/>
      <c r="D28" s="131"/>
      <c r="E28" s="131"/>
      <c r="F28" s="132"/>
      <c r="G28" s="133" t="s">
        <v>5</v>
      </c>
      <c r="H28" s="133" t="s">
        <v>6</v>
      </c>
      <c r="I28" s="137" t="s">
        <v>227</v>
      </c>
    </row>
    <row r="29" spans="2:9" s="123" customFormat="1" ht="16.5" thickBot="1" x14ac:dyDescent="0.3">
      <c r="B29" s="9" t="s">
        <v>0</v>
      </c>
      <c r="C29" s="69" t="s">
        <v>1</v>
      </c>
      <c r="D29" s="9" t="s">
        <v>2</v>
      </c>
      <c r="E29" s="9" t="s">
        <v>3</v>
      </c>
      <c r="F29" s="9" t="s">
        <v>4</v>
      </c>
      <c r="G29" s="134"/>
      <c r="H29" s="134"/>
      <c r="I29" s="138"/>
    </row>
    <row r="30" spans="2:9" s="123" customFormat="1" x14ac:dyDescent="0.25">
      <c r="B30" s="33">
        <v>1</v>
      </c>
      <c r="C30" s="72" t="s">
        <v>70</v>
      </c>
      <c r="D30" s="87" t="s">
        <v>235</v>
      </c>
      <c r="E30" s="10">
        <v>5</v>
      </c>
      <c r="F30" s="29">
        <v>9</v>
      </c>
      <c r="G30" s="10">
        <v>5</v>
      </c>
      <c r="H30" s="48" t="s">
        <v>213</v>
      </c>
      <c r="I30" s="48" t="s">
        <v>268</v>
      </c>
    </row>
    <row r="31" spans="2:9" s="123" customFormat="1" ht="31.5" x14ac:dyDescent="0.25">
      <c r="B31" s="34">
        <v>2</v>
      </c>
      <c r="C31" s="73" t="s">
        <v>71</v>
      </c>
      <c r="D31" s="18" t="s">
        <v>236</v>
      </c>
      <c r="E31" s="11">
        <v>5</v>
      </c>
      <c r="F31" s="30">
        <v>9</v>
      </c>
      <c r="G31" s="11">
        <v>5</v>
      </c>
      <c r="H31" s="49" t="s">
        <v>18</v>
      </c>
      <c r="I31" s="49" t="s">
        <v>229</v>
      </c>
    </row>
    <row r="32" spans="2:9" s="123" customFormat="1" ht="31.5" x14ac:dyDescent="0.25">
      <c r="B32" s="34">
        <v>3</v>
      </c>
      <c r="C32" s="73" t="s">
        <v>174</v>
      </c>
      <c r="D32" s="18" t="s">
        <v>237</v>
      </c>
      <c r="E32" s="11">
        <v>5</v>
      </c>
      <c r="F32" s="30">
        <v>10</v>
      </c>
      <c r="G32" s="11">
        <v>7</v>
      </c>
      <c r="H32" s="49" t="s">
        <v>272</v>
      </c>
      <c r="I32" s="50" t="s">
        <v>230</v>
      </c>
    </row>
    <row r="33" spans="2:9" ht="31.5" x14ac:dyDescent="0.25">
      <c r="B33" s="34">
        <v>4</v>
      </c>
      <c r="C33" s="73" t="s">
        <v>190</v>
      </c>
      <c r="D33" s="18" t="s">
        <v>238</v>
      </c>
      <c r="E33" s="11">
        <v>5</v>
      </c>
      <c r="F33" s="30">
        <v>6</v>
      </c>
      <c r="G33" s="11">
        <v>5</v>
      </c>
      <c r="H33" s="50" t="s">
        <v>12</v>
      </c>
      <c r="I33" s="50" t="s">
        <v>268</v>
      </c>
    </row>
    <row r="34" spans="2:9" ht="31.5" x14ac:dyDescent="0.25">
      <c r="B34" s="34">
        <v>5</v>
      </c>
      <c r="C34" s="73" t="s">
        <v>72</v>
      </c>
      <c r="D34" s="18" t="s">
        <v>239</v>
      </c>
      <c r="E34" s="11">
        <v>5</v>
      </c>
      <c r="F34" s="30">
        <v>9</v>
      </c>
      <c r="G34" s="11">
        <v>6</v>
      </c>
      <c r="H34" s="49" t="s">
        <v>220</v>
      </c>
      <c r="I34" s="49" t="s">
        <v>268</v>
      </c>
    </row>
    <row r="35" spans="2:9" ht="16.5" thickBot="1" x14ac:dyDescent="0.3">
      <c r="B35" s="35">
        <v>6</v>
      </c>
      <c r="C35" s="74" t="s">
        <v>188</v>
      </c>
      <c r="D35" s="19" t="s">
        <v>189</v>
      </c>
      <c r="E35" s="12">
        <v>5</v>
      </c>
      <c r="F35" s="31">
        <v>3</v>
      </c>
      <c r="G35" s="12">
        <v>2</v>
      </c>
      <c r="H35" s="51" t="s">
        <v>219</v>
      </c>
      <c r="I35" s="51" t="s">
        <v>267</v>
      </c>
    </row>
    <row r="36" spans="2:9" s="122" customFormat="1" ht="16.5" thickBot="1" x14ac:dyDescent="0.3">
      <c r="B36" s="60"/>
      <c r="C36" s="61"/>
      <c r="D36" s="62"/>
      <c r="E36" s="65" t="s">
        <v>224</v>
      </c>
      <c r="F36" s="66">
        <f>SUM(F30:F35)</f>
        <v>46</v>
      </c>
      <c r="G36" s="63"/>
      <c r="H36" s="95" t="s">
        <v>234</v>
      </c>
      <c r="I36" s="64"/>
    </row>
    <row r="37" spans="2:9" x14ac:dyDescent="0.25">
      <c r="B37" s="4"/>
      <c r="C37" s="110"/>
      <c r="D37" s="108"/>
      <c r="E37" s="52"/>
      <c r="F37" s="111"/>
      <c r="G37" s="52"/>
      <c r="H37" s="111"/>
      <c r="I37" s="102"/>
    </row>
    <row r="38" spans="2:9" ht="16.5" thickBot="1" x14ac:dyDescent="0.3">
      <c r="B38" s="4"/>
      <c r="C38" s="110"/>
      <c r="D38" s="108"/>
      <c r="E38" s="52"/>
      <c r="F38" s="111"/>
      <c r="G38" s="52"/>
      <c r="H38" s="111"/>
      <c r="I38" s="102"/>
    </row>
    <row r="39" spans="2:9" ht="16.5" thickBot="1" x14ac:dyDescent="0.3">
      <c r="B39" s="127" t="s">
        <v>232</v>
      </c>
      <c r="C39" s="128"/>
      <c r="D39" s="128"/>
      <c r="E39" s="128"/>
      <c r="F39" s="128"/>
      <c r="G39" s="128"/>
      <c r="H39" s="129"/>
      <c r="I39" s="102"/>
    </row>
    <row r="40" spans="2:9" ht="16.5" thickBot="1" x14ac:dyDescent="0.3">
      <c r="B40" s="130" t="s">
        <v>233</v>
      </c>
      <c r="C40" s="131"/>
      <c r="D40" s="131"/>
      <c r="E40" s="131"/>
      <c r="F40" s="132"/>
      <c r="G40" s="133" t="s">
        <v>5</v>
      </c>
      <c r="H40" s="133" t="s">
        <v>6</v>
      </c>
      <c r="I40" s="102"/>
    </row>
    <row r="41" spans="2:9" ht="16.5" thickBot="1" x14ac:dyDescent="0.3">
      <c r="B41" s="9" t="s">
        <v>0</v>
      </c>
      <c r="C41" s="69" t="s">
        <v>1</v>
      </c>
      <c r="D41" s="9" t="s">
        <v>2</v>
      </c>
      <c r="E41" s="9" t="s">
        <v>3</v>
      </c>
      <c r="F41" s="9" t="s">
        <v>4</v>
      </c>
      <c r="G41" s="134"/>
      <c r="H41" s="134"/>
      <c r="I41" s="102"/>
    </row>
    <row r="42" spans="2:9" x14ac:dyDescent="0.25">
      <c r="B42" s="10">
        <v>1</v>
      </c>
      <c r="C42" s="70" t="s">
        <v>170</v>
      </c>
      <c r="D42" s="10" t="s">
        <v>171</v>
      </c>
      <c r="E42" s="10">
        <v>5</v>
      </c>
      <c r="F42" s="10">
        <v>6</v>
      </c>
      <c r="G42" s="10">
        <v>3</v>
      </c>
      <c r="H42" s="20"/>
      <c r="I42" s="102"/>
    </row>
    <row r="43" spans="2:9" ht="32.25" thickBot="1" x14ac:dyDescent="0.3">
      <c r="B43" s="12">
        <v>2</v>
      </c>
      <c r="C43" s="88" t="s">
        <v>172</v>
      </c>
      <c r="D43" s="12" t="s">
        <v>173</v>
      </c>
      <c r="E43" s="12">
        <v>5</v>
      </c>
      <c r="F43" s="12">
        <v>6</v>
      </c>
      <c r="G43" s="12">
        <v>3</v>
      </c>
      <c r="H43" s="22"/>
      <c r="I43" s="102"/>
    </row>
    <row r="44" spans="2:9" ht="16.5" thickBot="1" x14ac:dyDescent="0.3">
      <c r="B44" s="60"/>
      <c r="C44" s="61"/>
      <c r="D44" s="62"/>
      <c r="E44" s="65" t="s">
        <v>224</v>
      </c>
      <c r="F44" s="66">
        <f>SUM(F42:F43)</f>
        <v>12</v>
      </c>
      <c r="G44" s="63"/>
      <c r="H44" s="95" t="s">
        <v>234</v>
      </c>
      <c r="I44" s="102"/>
    </row>
    <row r="45" spans="2:9" x14ac:dyDescent="0.25">
      <c r="B45" s="6"/>
      <c r="C45" s="57"/>
      <c r="D45" s="58"/>
      <c r="E45" s="55"/>
      <c r="F45" s="56"/>
      <c r="G45" s="55"/>
      <c r="H45" s="59"/>
      <c r="I45" s="102"/>
    </row>
    <row r="46" spans="2:9" ht="16.5" thickBot="1" x14ac:dyDescent="0.3">
      <c r="B46" s="4"/>
      <c r="C46" s="110"/>
      <c r="D46" s="108"/>
      <c r="E46" s="52"/>
      <c r="F46" s="111"/>
      <c r="G46" s="52"/>
      <c r="H46" s="111"/>
      <c r="I46" s="102"/>
    </row>
    <row r="47" spans="2:9" ht="16.5" thickBot="1" x14ac:dyDescent="0.3">
      <c r="B47" s="130" t="s">
        <v>240</v>
      </c>
      <c r="C47" s="131"/>
      <c r="D47" s="131"/>
      <c r="E47" s="131"/>
      <c r="F47" s="132"/>
      <c r="G47" s="133" t="s">
        <v>5</v>
      </c>
      <c r="H47" s="133" t="s">
        <v>6</v>
      </c>
      <c r="I47" s="137" t="s">
        <v>227</v>
      </c>
    </row>
    <row r="48" spans="2:9" ht="16.5" thickBot="1" x14ac:dyDescent="0.3">
      <c r="B48" s="9" t="s">
        <v>0</v>
      </c>
      <c r="C48" s="69" t="s">
        <v>1</v>
      </c>
      <c r="D48" s="9" t="s">
        <v>2</v>
      </c>
      <c r="E48" s="9" t="s">
        <v>3</v>
      </c>
      <c r="F48" s="9" t="s">
        <v>4</v>
      </c>
      <c r="G48" s="134"/>
      <c r="H48" s="134"/>
      <c r="I48" s="138"/>
    </row>
    <row r="49" spans="2:9" x14ac:dyDescent="0.25">
      <c r="B49" s="33">
        <v>1</v>
      </c>
      <c r="C49" s="72" t="s">
        <v>74</v>
      </c>
      <c r="D49" s="29" t="s">
        <v>81</v>
      </c>
      <c r="E49" s="10">
        <v>6</v>
      </c>
      <c r="F49" s="29">
        <v>5</v>
      </c>
      <c r="G49" s="10">
        <v>4</v>
      </c>
      <c r="H49" s="29" t="s">
        <v>208</v>
      </c>
      <c r="I49" s="29" t="s">
        <v>243</v>
      </c>
    </row>
    <row r="50" spans="2:9" x14ac:dyDescent="0.25">
      <c r="B50" s="34">
        <v>2</v>
      </c>
      <c r="C50" s="73" t="s">
        <v>91</v>
      </c>
      <c r="D50" s="30" t="s">
        <v>82</v>
      </c>
      <c r="E50" s="11">
        <v>6</v>
      </c>
      <c r="F50" s="30">
        <v>6</v>
      </c>
      <c r="G50" s="11">
        <v>4</v>
      </c>
      <c r="H50" s="30" t="s">
        <v>22</v>
      </c>
      <c r="I50" s="30" t="s">
        <v>268</v>
      </c>
    </row>
    <row r="51" spans="2:9" x14ac:dyDescent="0.25">
      <c r="B51" s="34">
        <v>3</v>
      </c>
      <c r="C51" s="75" t="s">
        <v>75</v>
      </c>
      <c r="D51" s="23" t="s">
        <v>83</v>
      </c>
      <c r="E51" s="11">
        <v>6</v>
      </c>
      <c r="F51" s="23">
        <v>3</v>
      </c>
      <c r="G51" s="11">
        <v>2</v>
      </c>
      <c r="H51" s="23" t="s">
        <v>69</v>
      </c>
      <c r="I51" s="23" t="s">
        <v>268</v>
      </c>
    </row>
    <row r="52" spans="2:9" x14ac:dyDescent="0.25">
      <c r="B52" s="34">
        <v>4</v>
      </c>
      <c r="C52" s="75" t="s">
        <v>76</v>
      </c>
      <c r="D52" s="23" t="s">
        <v>84</v>
      </c>
      <c r="E52" s="11">
        <v>6</v>
      </c>
      <c r="F52" s="23">
        <v>6</v>
      </c>
      <c r="G52" s="11">
        <v>3</v>
      </c>
      <c r="H52" s="23" t="s">
        <v>200</v>
      </c>
      <c r="I52" s="23" t="s">
        <v>268</v>
      </c>
    </row>
    <row r="53" spans="2:9" x14ac:dyDescent="0.25">
      <c r="B53" s="34">
        <v>5</v>
      </c>
      <c r="C53" s="76" t="s">
        <v>77</v>
      </c>
      <c r="D53" s="23" t="s">
        <v>85</v>
      </c>
      <c r="E53" s="11">
        <v>6</v>
      </c>
      <c r="F53" s="23">
        <v>4</v>
      </c>
      <c r="G53" s="11">
        <v>2</v>
      </c>
      <c r="H53" s="23" t="s">
        <v>73</v>
      </c>
      <c r="I53" s="23" t="s">
        <v>268</v>
      </c>
    </row>
    <row r="54" spans="2:9" x14ac:dyDescent="0.25">
      <c r="B54" s="34">
        <v>6</v>
      </c>
      <c r="C54" s="15" t="s">
        <v>78</v>
      </c>
      <c r="D54" s="30" t="s">
        <v>86</v>
      </c>
      <c r="E54" s="11">
        <v>6</v>
      </c>
      <c r="F54" s="30">
        <v>4</v>
      </c>
      <c r="G54" s="11">
        <v>2</v>
      </c>
      <c r="H54" s="30" t="s">
        <v>199</v>
      </c>
      <c r="I54" s="30" t="s">
        <v>267</v>
      </c>
    </row>
    <row r="55" spans="2:9" x14ac:dyDescent="0.25">
      <c r="B55" s="34">
        <v>7</v>
      </c>
      <c r="C55" s="15" t="s">
        <v>79</v>
      </c>
      <c r="D55" s="30" t="s">
        <v>87</v>
      </c>
      <c r="E55" s="11">
        <v>6</v>
      </c>
      <c r="F55" s="30">
        <v>6</v>
      </c>
      <c r="G55" s="11">
        <v>4</v>
      </c>
      <c r="H55" s="30" t="s">
        <v>201</v>
      </c>
      <c r="I55" s="30" t="s">
        <v>268</v>
      </c>
    </row>
    <row r="56" spans="2:9" ht="32.25" thickBot="1" x14ac:dyDescent="0.3">
      <c r="B56" s="35">
        <v>8</v>
      </c>
      <c r="C56" s="77" t="s">
        <v>80</v>
      </c>
      <c r="D56" s="31" t="s">
        <v>88</v>
      </c>
      <c r="E56" s="12">
        <v>6</v>
      </c>
      <c r="F56" s="31">
        <v>9</v>
      </c>
      <c r="G56" s="12">
        <v>6</v>
      </c>
      <c r="H56" s="31" t="s">
        <v>89</v>
      </c>
      <c r="I56" s="31" t="s">
        <v>268</v>
      </c>
    </row>
    <row r="57" spans="2:9" s="122" customFormat="1" ht="16.5" thickBot="1" x14ac:dyDescent="0.3">
      <c r="B57" s="60"/>
      <c r="C57" s="61"/>
      <c r="D57" s="62"/>
      <c r="E57" s="65" t="s">
        <v>224</v>
      </c>
      <c r="F57" s="66">
        <f>SUM(F49:F56)</f>
        <v>43</v>
      </c>
      <c r="G57" s="63"/>
      <c r="H57" s="95" t="s">
        <v>234</v>
      </c>
      <c r="I57" s="64"/>
    </row>
    <row r="58" spans="2:9" s="122" customFormat="1" x14ac:dyDescent="0.25">
      <c r="B58" s="6"/>
      <c r="C58" s="57"/>
      <c r="D58" s="58"/>
      <c r="E58" s="55"/>
      <c r="F58" s="56"/>
      <c r="G58" s="55"/>
      <c r="H58" s="59"/>
      <c r="I58" s="5"/>
    </row>
    <row r="59" spans="2:9" ht="16.5" thickBot="1" x14ac:dyDescent="0.3">
      <c r="B59" s="4"/>
      <c r="C59" s="112"/>
      <c r="D59" s="111"/>
      <c r="E59" s="52"/>
      <c r="F59" s="111"/>
      <c r="G59" s="52"/>
      <c r="H59" s="111"/>
      <c r="I59" s="102"/>
    </row>
    <row r="60" spans="2:9" ht="16.5" thickBot="1" x14ac:dyDescent="0.3">
      <c r="B60" s="130" t="s">
        <v>242</v>
      </c>
      <c r="C60" s="131"/>
      <c r="D60" s="131"/>
      <c r="E60" s="131"/>
      <c r="F60" s="132"/>
      <c r="G60" s="133" t="s">
        <v>5</v>
      </c>
      <c r="H60" s="133" t="s">
        <v>6</v>
      </c>
      <c r="I60" s="137" t="s">
        <v>227</v>
      </c>
    </row>
    <row r="61" spans="2:9" ht="16.5" thickBot="1" x14ac:dyDescent="0.3">
      <c r="B61" s="9" t="s">
        <v>0</v>
      </c>
      <c r="C61" s="69" t="s">
        <v>1</v>
      </c>
      <c r="D61" s="9" t="s">
        <v>2</v>
      </c>
      <c r="E61" s="9" t="s">
        <v>3</v>
      </c>
      <c r="F61" s="9" t="s">
        <v>4</v>
      </c>
      <c r="G61" s="134"/>
      <c r="H61" s="134"/>
      <c r="I61" s="138"/>
    </row>
    <row r="62" spans="2:9" x14ac:dyDescent="0.25">
      <c r="B62" s="10">
        <v>1</v>
      </c>
      <c r="C62" s="72" t="s">
        <v>90</v>
      </c>
      <c r="D62" s="29" t="s">
        <v>94</v>
      </c>
      <c r="E62" s="10">
        <v>6</v>
      </c>
      <c r="F62" s="29">
        <v>9</v>
      </c>
      <c r="G62" s="10">
        <v>4</v>
      </c>
      <c r="H62" s="36" t="s">
        <v>205</v>
      </c>
      <c r="I62" s="36" t="s">
        <v>268</v>
      </c>
    </row>
    <row r="63" spans="2:9" x14ac:dyDescent="0.25">
      <c r="B63" s="11">
        <v>2</v>
      </c>
      <c r="C63" s="73" t="s">
        <v>91</v>
      </c>
      <c r="D63" s="30" t="s">
        <v>95</v>
      </c>
      <c r="E63" s="11">
        <v>6</v>
      </c>
      <c r="F63" s="30">
        <v>9</v>
      </c>
      <c r="G63" s="11">
        <v>6</v>
      </c>
      <c r="H63" s="30" t="s">
        <v>22</v>
      </c>
      <c r="I63" s="30" t="s">
        <v>268</v>
      </c>
    </row>
    <row r="64" spans="2:9" x14ac:dyDescent="0.25">
      <c r="B64" s="11">
        <v>3</v>
      </c>
      <c r="C64" s="73" t="s">
        <v>92</v>
      </c>
      <c r="D64" s="30" t="s">
        <v>96</v>
      </c>
      <c r="E64" s="11">
        <v>6</v>
      </c>
      <c r="F64" s="30">
        <v>9</v>
      </c>
      <c r="G64" s="11">
        <v>6</v>
      </c>
      <c r="H64" s="30" t="s">
        <v>204</v>
      </c>
      <c r="I64" s="30" t="s">
        <v>268</v>
      </c>
    </row>
    <row r="65" spans="2:9" x14ac:dyDescent="0.25">
      <c r="B65" s="11">
        <v>4</v>
      </c>
      <c r="C65" s="73" t="s">
        <v>21</v>
      </c>
      <c r="D65" s="30" t="s">
        <v>97</v>
      </c>
      <c r="E65" s="11">
        <v>6</v>
      </c>
      <c r="F65" s="30">
        <v>6</v>
      </c>
      <c r="G65" s="11">
        <v>5</v>
      </c>
      <c r="H65" s="30" t="s">
        <v>204</v>
      </c>
      <c r="I65" s="30" t="s">
        <v>268</v>
      </c>
    </row>
    <row r="66" spans="2:9" x14ac:dyDescent="0.25">
      <c r="B66" s="11">
        <v>5</v>
      </c>
      <c r="C66" s="15" t="s">
        <v>93</v>
      </c>
      <c r="D66" s="30" t="s">
        <v>98</v>
      </c>
      <c r="E66" s="11">
        <v>6</v>
      </c>
      <c r="F66" s="30">
        <v>9</v>
      </c>
      <c r="G66" s="11">
        <v>6</v>
      </c>
      <c r="H66" s="30" t="s">
        <v>100</v>
      </c>
      <c r="I66" s="30" t="s">
        <v>229</v>
      </c>
    </row>
    <row r="67" spans="2:9" ht="32.25" thickBot="1" x14ac:dyDescent="0.3">
      <c r="B67" s="35">
        <v>6</v>
      </c>
      <c r="C67" s="77" t="s">
        <v>80</v>
      </c>
      <c r="D67" s="31" t="s">
        <v>81</v>
      </c>
      <c r="E67" s="12">
        <v>6</v>
      </c>
      <c r="F67" s="31">
        <v>10</v>
      </c>
      <c r="G67" s="12">
        <v>6</v>
      </c>
      <c r="H67" s="31" t="s">
        <v>89</v>
      </c>
      <c r="I67" s="31" t="s">
        <v>268</v>
      </c>
    </row>
    <row r="68" spans="2:9" s="122" customFormat="1" ht="16.5" thickBot="1" x14ac:dyDescent="0.3">
      <c r="B68" s="60"/>
      <c r="C68" s="61"/>
      <c r="D68" s="62"/>
      <c r="E68" s="65" t="s">
        <v>224</v>
      </c>
      <c r="F68" s="66">
        <f>SUM(F62:F67)</f>
        <v>52</v>
      </c>
      <c r="G68" s="63"/>
      <c r="H68" s="95" t="s">
        <v>234</v>
      </c>
      <c r="I68" s="64"/>
    </row>
    <row r="69" spans="2:9" s="122" customFormat="1" x14ac:dyDescent="0.25">
      <c r="B69" s="6"/>
      <c r="C69" s="57"/>
      <c r="D69" s="58"/>
      <c r="E69" s="55"/>
      <c r="F69" s="56"/>
      <c r="G69" s="55"/>
      <c r="H69" s="59"/>
      <c r="I69" s="5"/>
    </row>
    <row r="70" spans="2:9" ht="16.5" thickBot="1" x14ac:dyDescent="0.3">
      <c r="B70" s="4"/>
      <c r="C70" s="96"/>
      <c r="D70" s="52"/>
      <c r="E70" s="52"/>
      <c r="F70" s="52"/>
      <c r="G70" s="52"/>
      <c r="H70" s="52"/>
      <c r="I70" s="103"/>
    </row>
    <row r="71" spans="2:9" ht="16.5" thickBot="1" x14ac:dyDescent="0.3">
      <c r="B71" s="130" t="s">
        <v>241</v>
      </c>
      <c r="C71" s="131"/>
      <c r="D71" s="131"/>
      <c r="E71" s="131"/>
      <c r="F71" s="132"/>
      <c r="G71" s="133" t="s">
        <v>5</v>
      </c>
      <c r="H71" s="133" t="s">
        <v>6</v>
      </c>
      <c r="I71" s="137" t="s">
        <v>227</v>
      </c>
    </row>
    <row r="72" spans="2:9" ht="16.5" thickBot="1" x14ac:dyDescent="0.3">
      <c r="B72" s="9" t="s">
        <v>0</v>
      </c>
      <c r="C72" s="69" t="s">
        <v>1</v>
      </c>
      <c r="D72" s="9" t="s">
        <v>2</v>
      </c>
      <c r="E72" s="9" t="s">
        <v>3</v>
      </c>
      <c r="F72" s="9" t="s">
        <v>4</v>
      </c>
      <c r="G72" s="134"/>
      <c r="H72" s="134"/>
      <c r="I72" s="138"/>
    </row>
    <row r="73" spans="2:9" x14ac:dyDescent="0.25">
      <c r="B73" s="10">
        <v>1</v>
      </c>
      <c r="C73" s="78" t="s">
        <v>101</v>
      </c>
      <c r="D73" s="25" t="s">
        <v>104</v>
      </c>
      <c r="E73" s="10">
        <v>6</v>
      </c>
      <c r="F73" s="25">
        <v>9</v>
      </c>
      <c r="G73" s="10">
        <v>6</v>
      </c>
      <c r="H73" s="29" t="s">
        <v>12</v>
      </c>
      <c r="I73" s="29" t="s">
        <v>268</v>
      </c>
    </row>
    <row r="74" spans="2:9" x14ac:dyDescent="0.25">
      <c r="B74" s="151">
        <v>2</v>
      </c>
      <c r="C74" s="158" t="s">
        <v>217</v>
      </c>
      <c r="D74" s="153" t="s">
        <v>105</v>
      </c>
      <c r="E74" s="151">
        <v>6</v>
      </c>
      <c r="F74" s="153">
        <v>9</v>
      </c>
      <c r="G74" s="151">
        <v>6</v>
      </c>
      <c r="H74" s="23" t="s">
        <v>215</v>
      </c>
      <c r="I74" s="135" t="s">
        <v>226</v>
      </c>
    </row>
    <row r="75" spans="2:9" x14ac:dyDescent="0.25">
      <c r="B75" s="152"/>
      <c r="C75" s="159"/>
      <c r="D75" s="154"/>
      <c r="E75" s="152"/>
      <c r="F75" s="154"/>
      <c r="G75" s="152"/>
      <c r="H75" s="21" t="s">
        <v>212</v>
      </c>
      <c r="I75" s="136"/>
    </row>
    <row r="76" spans="2:9" x14ac:dyDescent="0.25">
      <c r="B76" s="11">
        <v>3</v>
      </c>
      <c r="C76" s="79" t="s">
        <v>91</v>
      </c>
      <c r="D76" s="23" t="s">
        <v>106</v>
      </c>
      <c r="E76" s="11">
        <v>6</v>
      </c>
      <c r="F76" s="23">
        <v>9</v>
      </c>
      <c r="G76" s="11">
        <v>7</v>
      </c>
      <c r="H76" s="23" t="s">
        <v>22</v>
      </c>
      <c r="I76" s="23" t="s">
        <v>268</v>
      </c>
    </row>
    <row r="77" spans="2:9" x14ac:dyDescent="0.25">
      <c r="B77" s="11">
        <v>4</v>
      </c>
      <c r="C77" s="80" t="s">
        <v>191</v>
      </c>
      <c r="D77" s="23" t="s">
        <v>107</v>
      </c>
      <c r="E77" s="11">
        <v>6</v>
      </c>
      <c r="F77" s="23">
        <v>9</v>
      </c>
      <c r="G77" s="23">
        <v>5</v>
      </c>
      <c r="H77" s="23" t="s">
        <v>99</v>
      </c>
      <c r="I77" s="23" t="s">
        <v>268</v>
      </c>
    </row>
    <row r="78" spans="2:9" x14ac:dyDescent="0.25">
      <c r="B78" s="11">
        <v>5</v>
      </c>
      <c r="C78" s="80" t="s">
        <v>21</v>
      </c>
      <c r="D78" s="23" t="s">
        <v>108</v>
      </c>
      <c r="E78" s="11">
        <v>6</v>
      </c>
      <c r="F78" s="23">
        <v>6</v>
      </c>
      <c r="G78" s="11">
        <v>4</v>
      </c>
      <c r="H78" s="23" t="s">
        <v>204</v>
      </c>
      <c r="I78" s="23" t="s">
        <v>268</v>
      </c>
    </row>
    <row r="79" spans="2:9" ht="31.5" x14ac:dyDescent="0.25">
      <c r="B79" s="11">
        <v>6</v>
      </c>
      <c r="C79" s="80" t="s">
        <v>102</v>
      </c>
      <c r="D79" s="23" t="s">
        <v>109</v>
      </c>
      <c r="E79" s="11">
        <v>6</v>
      </c>
      <c r="F79" s="23">
        <v>9</v>
      </c>
      <c r="G79" s="11">
        <v>5</v>
      </c>
      <c r="H79" s="23" t="s">
        <v>204</v>
      </c>
      <c r="I79" s="50" t="s">
        <v>226</v>
      </c>
    </row>
    <row r="80" spans="2:9" x14ac:dyDescent="0.25">
      <c r="B80" s="11">
        <v>7</v>
      </c>
      <c r="C80" s="80" t="s">
        <v>103</v>
      </c>
      <c r="D80" s="23" t="s">
        <v>110</v>
      </c>
      <c r="E80" s="11">
        <v>6</v>
      </c>
      <c r="F80" s="23">
        <v>6</v>
      </c>
      <c r="G80" s="11">
        <v>4</v>
      </c>
      <c r="H80" s="32" t="s">
        <v>202</v>
      </c>
      <c r="I80" s="32" t="s">
        <v>268</v>
      </c>
    </row>
    <row r="81" spans="2:9" ht="32.25" thickBot="1" x14ac:dyDescent="0.3">
      <c r="B81" s="35">
        <v>8</v>
      </c>
      <c r="C81" s="77" t="s">
        <v>80</v>
      </c>
      <c r="D81" s="31" t="s">
        <v>111</v>
      </c>
      <c r="E81" s="12">
        <v>6</v>
      </c>
      <c r="F81" s="31">
        <v>5</v>
      </c>
      <c r="G81" s="12">
        <v>6</v>
      </c>
      <c r="H81" s="31" t="s">
        <v>13</v>
      </c>
      <c r="I81" s="31" t="s">
        <v>268</v>
      </c>
    </row>
    <row r="82" spans="2:9" s="122" customFormat="1" ht="16.5" thickBot="1" x14ac:dyDescent="0.3">
      <c r="B82" s="60"/>
      <c r="C82" s="61"/>
      <c r="D82" s="62"/>
      <c r="E82" s="65" t="s">
        <v>224</v>
      </c>
      <c r="F82" s="66">
        <f>SUM(F73:F81)</f>
        <v>62</v>
      </c>
      <c r="G82" s="63"/>
      <c r="H82" s="95" t="s">
        <v>234</v>
      </c>
      <c r="I82" s="64"/>
    </row>
    <row r="83" spans="2:9" s="122" customFormat="1" x14ac:dyDescent="0.25">
      <c r="B83" s="6"/>
      <c r="C83" s="57"/>
      <c r="D83" s="58"/>
      <c r="E83" s="55"/>
      <c r="F83" s="56"/>
      <c r="G83" s="55"/>
      <c r="H83" s="59"/>
      <c r="I83" s="5"/>
    </row>
    <row r="84" spans="2:9" s="122" customFormat="1" ht="16.5" thickBot="1" x14ac:dyDescent="0.3">
      <c r="B84" s="6"/>
      <c r="C84" s="57"/>
      <c r="D84" s="58"/>
      <c r="E84" s="55"/>
      <c r="F84" s="56"/>
      <c r="G84" s="55"/>
      <c r="H84" s="59"/>
      <c r="I84" s="5"/>
    </row>
    <row r="85" spans="2:9" s="122" customFormat="1" ht="16.5" thickBot="1" x14ac:dyDescent="0.3">
      <c r="B85" s="127" t="s">
        <v>244</v>
      </c>
      <c r="C85" s="128"/>
      <c r="D85" s="128"/>
      <c r="E85" s="128"/>
      <c r="F85" s="128"/>
      <c r="G85" s="128"/>
      <c r="H85" s="129"/>
      <c r="I85" s="5"/>
    </row>
    <row r="86" spans="2:9" s="122" customFormat="1" ht="16.5" thickBot="1" x14ac:dyDescent="0.3">
      <c r="B86" s="130" t="s">
        <v>245</v>
      </c>
      <c r="C86" s="131"/>
      <c r="D86" s="131"/>
      <c r="E86" s="131"/>
      <c r="F86" s="132"/>
      <c r="G86" s="133" t="s">
        <v>5</v>
      </c>
      <c r="H86" s="133" t="s">
        <v>6</v>
      </c>
      <c r="I86" s="5"/>
    </row>
    <row r="87" spans="2:9" s="122" customFormat="1" ht="16.5" thickBot="1" x14ac:dyDescent="0.3">
      <c r="B87" s="9" t="s">
        <v>0</v>
      </c>
      <c r="C87" s="69" t="s">
        <v>1</v>
      </c>
      <c r="D87" s="9" t="s">
        <v>2</v>
      </c>
      <c r="E87" s="9" t="s">
        <v>3</v>
      </c>
      <c r="F87" s="9" t="s">
        <v>4</v>
      </c>
      <c r="G87" s="134"/>
      <c r="H87" s="134"/>
      <c r="I87" s="5"/>
    </row>
    <row r="88" spans="2:9" s="122" customFormat="1" x14ac:dyDescent="0.25">
      <c r="B88" s="10">
        <v>1</v>
      </c>
      <c r="C88" s="85" t="s">
        <v>175</v>
      </c>
      <c r="D88" s="11" t="s">
        <v>176</v>
      </c>
      <c r="E88" s="11">
        <v>6</v>
      </c>
      <c r="F88" s="11">
        <v>4</v>
      </c>
      <c r="G88" s="11">
        <v>3</v>
      </c>
      <c r="H88" s="20"/>
      <c r="I88" s="5"/>
    </row>
    <row r="89" spans="2:9" s="122" customFormat="1" ht="16.5" thickBot="1" x14ac:dyDescent="0.3">
      <c r="B89" s="12">
        <v>2</v>
      </c>
      <c r="C89" s="85" t="s">
        <v>177</v>
      </c>
      <c r="D89" s="11" t="s">
        <v>178</v>
      </c>
      <c r="E89" s="11">
        <v>6</v>
      </c>
      <c r="F89" s="11">
        <v>4</v>
      </c>
      <c r="G89" s="11">
        <v>3</v>
      </c>
      <c r="H89" s="22"/>
      <c r="I89" s="5"/>
    </row>
    <row r="90" spans="2:9" s="122" customFormat="1" ht="16.5" thickBot="1" x14ac:dyDescent="0.3">
      <c r="B90" s="60"/>
      <c r="C90" s="61"/>
      <c r="D90" s="62"/>
      <c r="E90" s="65" t="s">
        <v>224</v>
      </c>
      <c r="F90" s="66">
        <f>SUM(F88:F89)</f>
        <v>8</v>
      </c>
      <c r="G90" s="63"/>
      <c r="H90" s="95" t="s">
        <v>234</v>
      </c>
      <c r="I90" s="5"/>
    </row>
    <row r="91" spans="2:9" s="122" customFormat="1" x14ac:dyDescent="0.25">
      <c r="B91" s="6"/>
      <c r="C91" s="57"/>
      <c r="D91" s="58"/>
      <c r="E91" s="55"/>
      <c r="F91" s="56"/>
      <c r="G91" s="55"/>
      <c r="H91" s="59"/>
      <c r="I91" s="5"/>
    </row>
    <row r="92" spans="2:9" s="122" customFormat="1" ht="16.5" thickBot="1" x14ac:dyDescent="0.3">
      <c r="B92" s="113"/>
      <c r="C92" s="114"/>
      <c r="D92" s="115"/>
      <c r="E92" s="116"/>
      <c r="F92" s="117"/>
      <c r="G92" s="116"/>
      <c r="H92" s="118"/>
      <c r="I92" s="119"/>
    </row>
    <row r="93" spans="2:9" s="124" customFormat="1" ht="18.75" x14ac:dyDescent="0.25">
      <c r="B93" s="145" t="s">
        <v>23</v>
      </c>
      <c r="C93" s="146"/>
      <c r="D93" s="146"/>
      <c r="E93" s="146"/>
      <c r="F93" s="146"/>
      <c r="G93" s="146"/>
      <c r="H93" s="146"/>
      <c r="I93" s="147"/>
    </row>
    <row r="94" spans="2:9" s="124" customFormat="1" ht="18.75" x14ac:dyDescent="0.25">
      <c r="B94" s="148" t="s">
        <v>24</v>
      </c>
      <c r="C94" s="149"/>
      <c r="D94" s="149"/>
      <c r="E94" s="149"/>
      <c r="F94" s="149"/>
      <c r="G94" s="149"/>
      <c r="H94" s="149"/>
      <c r="I94" s="150"/>
    </row>
    <row r="95" spans="2:9" s="124" customFormat="1" ht="18.75" x14ac:dyDescent="0.25">
      <c r="B95" s="148" t="s">
        <v>246</v>
      </c>
      <c r="C95" s="149"/>
      <c r="D95" s="149"/>
      <c r="E95" s="149"/>
      <c r="F95" s="149"/>
      <c r="G95" s="149"/>
      <c r="H95" s="149"/>
      <c r="I95" s="150"/>
    </row>
    <row r="96" spans="2:9" s="122" customFormat="1" ht="16.5" thickBot="1" x14ac:dyDescent="0.3">
      <c r="B96" s="142"/>
      <c r="C96" s="143"/>
      <c r="D96" s="143"/>
      <c r="E96" s="143"/>
      <c r="F96" s="143"/>
      <c r="G96" s="143"/>
      <c r="H96" s="143"/>
      <c r="I96" s="144"/>
    </row>
    <row r="97" spans="2:9" ht="16.5" thickBot="1" x14ac:dyDescent="0.3">
      <c r="B97" s="139" t="s">
        <v>257</v>
      </c>
      <c r="C97" s="140"/>
      <c r="D97" s="140"/>
      <c r="E97" s="140"/>
      <c r="F97" s="141"/>
      <c r="G97" s="133" t="s">
        <v>5</v>
      </c>
      <c r="H97" s="133" t="s">
        <v>6</v>
      </c>
      <c r="I97" s="137" t="s">
        <v>227</v>
      </c>
    </row>
    <row r="98" spans="2:9" ht="16.5" thickBot="1" x14ac:dyDescent="0.3">
      <c r="B98" s="9" t="s">
        <v>0</v>
      </c>
      <c r="C98" s="69" t="s">
        <v>1</v>
      </c>
      <c r="D98" s="9" t="s">
        <v>2</v>
      </c>
      <c r="E98" s="9" t="s">
        <v>3</v>
      </c>
      <c r="F98" s="9" t="s">
        <v>4</v>
      </c>
      <c r="G98" s="134"/>
      <c r="H98" s="134"/>
      <c r="I98" s="138"/>
    </row>
    <row r="99" spans="2:9" x14ac:dyDescent="0.25">
      <c r="B99" s="10">
        <v>1</v>
      </c>
      <c r="C99" s="38" t="s">
        <v>112</v>
      </c>
      <c r="D99" s="17" t="s">
        <v>247</v>
      </c>
      <c r="E99" s="20" t="s">
        <v>250</v>
      </c>
      <c r="F99" s="20">
        <v>9</v>
      </c>
      <c r="G99" s="10">
        <v>5</v>
      </c>
      <c r="H99" s="20" t="s">
        <v>169</v>
      </c>
      <c r="I99" s="20" t="s">
        <v>268</v>
      </c>
    </row>
    <row r="100" spans="2:9" x14ac:dyDescent="0.25">
      <c r="B100" s="11">
        <v>2</v>
      </c>
      <c r="C100" s="39" t="s">
        <v>113</v>
      </c>
      <c r="D100" s="18" t="s">
        <v>248</v>
      </c>
      <c r="E100" s="21" t="s">
        <v>250</v>
      </c>
      <c r="F100" s="21">
        <v>6</v>
      </c>
      <c r="G100" s="11">
        <v>4</v>
      </c>
      <c r="H100" s="23" t="s">
        <v>209</v>
      </c>
      <c r="I100" s="30" t="s">
        <v>229</v>
      </c>
    </row>
    <row r="101" spans="2:9" ht="31.5" x14ac:dyDescent="0.25">
      <c r="B101" s="44">
        <v>3</v>
      </c>
      <c r="C101" s="39" t="s">
        <v>14</v>
      </c>
      <c r="D101" s="18" t="s">
        <v>249</v>
      </c>
      <c r="E101" s="21" t="s">
        <v>250</v>
      </c>
      <c r="F101" s="21">
        <v>9</v>
      </c>
      <c r="G101" s="11">
        <v>6</v>
      </c>
      <c r="H101" s="21" t="s">
        <v>119</v>
      </c>
      <c r="I101" s="50" t="s">
        <v>226</v>
      </c>
    </row>
    <row r="102" spans="2:9" x14ac:dyDescent="0.25">
      <c r="B102" s="11">
        <v>4</v>
      </c>
      <c r="C102" s="39" t="s">
        <v>114</v>
      </c>
      <c r="D102" s="18" t="s">
        <v>116</v>
      </c>
      <c r="E102" s="21" t="s">
        <v>250</v>
      </c>
      <c r="F102" s="21">
        <v>6</v>
      </c>
      <c r="G102" s="11">
        <v>4</v>
      </c>
      <c r="H102" s="21" t="s">
        <v>202</v>
      </c>
      <c r="I102" s="21" t="s">
        <v>268</v>
      </c>
    </row>
    <row r="103" spans="2:9" x14ac:dyDescent="0.25">
      <c r="B103" s="11">
        <v>5</v>
      </c>
      <c r="C103" s="39" t="s">
        <v>115</v>
      </c>
      <c r="D103" s="18" t="s">
        <v>117</v>
      </c>
      <c r="E103" s="21" t="s">
        <v>250</v>
      </c>
      <c r="F103" s="21">
        <v>6</v>
      </c>
      <c r="G103" s="11">
        <v>5</v>
      </c>
      <c r="H103" s="32" t="s">
        <v>69</v>
      </c>
      <c r="I103" s="32" t="s">
        <v>268</v>
      </c>
    </row>
    <row r="104" spans="2:9" x14ac:dyDescent="0.25">
      <c r="B104" s="11">
        <v>6</v>
      </c>
      <c r="C104" s="39" t="s">
        <v>185</v>
      </c>
      <c r="D104" s="18" t="s">
        <v>118</v>
      </c>
      <c r="E104" s="21" t="s">
        <v>250</v>
      </c>
      <c r="F104" s="21">
        <v>6</v>
      </c>
      <c r="G104" s="11">
        <v>4</v>
      </c>
      <c r="H104" s="32" t="s">
        <v>199</v>
      </c>
      <c r="I104" s="30" t="s">
        <v>267</v>
      </c>
    </row>
    <row r="105" spans="2:9" x14ac:dyDescent="0.25">
      <c r="B105" s="11">
        <v>7</v>
      </c>
      <c r="C105" s="39" t="s">
        <v>120</v>
      </c>
      <c r="D105" s="18" t="s">
        <v>122</v>
      </c>
      <c r="E105" s="21" t="s">
        <v>250</v>
      </c>
      <c r="F105" s="21">
        <v>9</v>
      </c>
      <c r="G105" s="11">
        <v>6</v>
      </c>
      <c r="H105" s="32" t="s">
        <v>10</v>
      </c>
      <c r="I105" s="32" t="s">
        <v>268</v>
      </c>
    </row>
    <row r="106" spans="2:9" ht="16.5" thickBot="1" x14ac:dyDescent="0.3">
      <c r="B106" s="11">
        <v>8</v>
      </c>
      <c r="C106" s="74" t="s">
        <v>121</v>
      </c>
      <c r="D106" s="40" t="s">
        <v>123</v>
      </c>
      <c r="E106" s="31" t="s">
        <v>250</v>
      </c>
      <c r="F106" s="31">
        <v>6</v>
      </c>
      <c r="G106" s="12">
        <v>4</v>
      </c>
      <c r="H106" s="22" t="s">
        <v>10</v>
      </c>
      <c r="I106" s="22" t="s">
        <v>268</v>
      </c>
    </row>
    <row r="107" spans="2:9" s="122" customFormat="1" ht="16.5" thickBot="1" x14ac:dyDescent="0.3">
      <c r="B107" s="60"/>
      <c r="C107" s="61"/>
      <c r="D107" s="62"/>
      <c r="E107" s="65" t="s">
        <v>224</v>
      </c>
      <c r="F107" s="66">
        <f>SUM(F99:F106)</f>
        <v>57</v>
      </c>
      <c r="G107" s="63"/>
      <c r="H107" s="95" t="s">
        <v>251</v>
      </c>
      <c r="I107" s="64"/>
    </row>
    <row r="108" spans="2:9" x14ac:dyDescent="0.25">
      <c r="B108" s="4"/>
      <c r="C108" s="89"/>
      <c r="D108" s="54"/>
      <c r="E108" s="52"/>
      <c r="F108" s="54"/>
      <c r="G108" s="52"/>
      <c r="H108" s="53"/>
      <c r="I108" s="3"/>
    </row>
    <row r="109" spans="2:9" ht="16.5" thickBot="1" x14ac:dyDescent="0.3">
      <c r="B109" s="4"/>
      <c r="C109" s="89"/>
      <c r="D109" s="54"/>
      <c r="E109" s="52"/>
      <c r="F109" s="54"/>
      <c r="G109" s="52"/>
      <c r="H109" s="53"/>
      <c r="I109" s="3"/>
    </row>
    <row r="110" spans="2:9" ht="16.5" thickBot="1" x14ac:dyDescent="0.3">
      <c r="B110" s="127" t="s">
        <v>252</v>
      </c>
      <c r="C110" s="128"/>
      <c r="D110" s="128"/>
      <c r="E110" s="128"/>
      <c r="F110" s="128"/>
      <c r="G110" s="128"/>
      <c r="H110" s="129"/>
      <c r="I110" s="3"/>
    </row>
    <row r="111" spans="2:9" ht="16.5" thickBot="1" x14ac:dyDescent="0.3">
      <c r="B111" s="139" t="s">
        <v>257</v>
      </c>
      <c r="C111" s="140"/>
      <c r="D111" s="140"/>
      <c r="E111" s="140"/>
      <c r="F111" s="141"/>
      <c r="G111" s="133" t="s">
        <v>5</v>
      </c>
      <c r="H111" s="133" t="s">
        <v>6</v>
      </c>
      <c r="I111" s="3"/>
    </row>
    <row r="112" spans="2:9" ht="16.5" thickBot="1" x14ac:dyDescent="0.3">
      <c r="B112" s="9" t="s">
        <v>0</v>
      </c>
      <c r="C112" s="69" t="s">
        <v>1</v>
      </c>
      <c r="D112" s="9" t="s">
        <v>2</v>
      </c>
      <c r="E112" s="9" t="s">
        <v>3</v>
      </c>
      <c r="F112" s="9" t="s">
        <v>4</v>
      </c>
      <c r="G112" s="134"/>
      <c r="H112" s="134"/>
      <c r="I112" s="3"/>
    </row>
    <row r="113" spans="2:9" x14ac:dyDescent="0.25">
      <c r="B113" s="10">
        <v>1</v>
      </c>
      <c r="C113" s="85" t="s">
        <v>179</v>
      </c>
      <c r="D113" s="11" t="s">
        <v>180</v>
      </c>
      <c r="E113" s="21" t="s">
        <v>250</v>
      </c>
      <c r="F113" s="11">
        <v>6</v>
      </c>
      <c r="G113" s="11">
        <v>3</v>
      </c>
      <c r="H113" s="20"/>
      <c r="I113" s="3"/>
    </row>
    <row r="114" spans="2:9" x14ac:dyDescent="0.25">
      <c r="B114" s="90">
        <v>2</v>
      </c>
      <c r="C114" s="83" t="s">
        <v>181</v>
      </c>
      <c r="D114" s="11" t="s">
        <v>182</v>
      </c>
      <c r="E114" s="21" t="s">
        <v>250</v>
      </c>
      <c r="F114" s="11">
        <v>6</v>
      </c>
      <c r="G114" s="11">
        <v>3</v>
      </c>
      <c r="H114" s="91"/>
      <c r="I114" s="3"/>
    </row>
    <row r="115" spans="2:9" ht="16.5" thickBot="1" x14ac:dyDescent="0.3">
      <c r="B115" s="12">
        <v>3</v>
      </c>
      <c r="C115" s="83" t="s">
        <v>183</v>
      </c>
      <c r="D115" s="11" t="s">
        <v>184</v>
      </c>
      <c r="E115" s="21" t="s">
        <v>250</v>
      </c>
      <c r="F115" s="11">
        <v>6</v>
      </c>
      <c r="G115" s="11">
        <v>3</v>
      </c>
      <c r="H115" s="22"/>
      <c r="I115" s="3"/>
    </row>
    <row r="116" spans="2:9" ht="16.5" thickBot="1" x14ac:dyDescent="0.3">
      <c r="B116" s="60"/>
      <c r="C116" s="61"/>
      <c r="D116" s="62"/>
      <c r="E116" s="65" t="s">
        <v>224</v>
      </c>
      <c r="F116" s="66">
        <f>SUM(F113:F115)</f>
        <v>18</v>
      </c>
      <c r="G116" s="63"/>
      <c r="H116" s="95" t="s">
        <v>251</v>
      </c>
      <c r="I116" s="3"/>
    </row>
    <row r="117" spans="2:9" x14ac:dyDescent="0.25">
      <c r="B117" s="6"/>
      <c r="C117" s="57"/>
      <c r="D117" s="58"/>
      <c r="E117" s="55"/>
      <c r="F117" s="56"/>
      <c r="G117" s="55"/>
      <c r="H117" s="59"/>
      <c r="I117" s="3"/>
    </row>
    <row r="118" spans="2:9" ht="16.5" thickBot="1" x14ac:dyDescent="0.3">
      <c r="B118" s="6"/>
      <c r="C118" s="57"/>
      <c r="D118" s="58"/>
      <c r="E118" s="55"/>
      <c r="F118" s="56"/>
      <c r="G118" s="55"/>
      <c r="H118" s="59"/>
      <c r="I118" s="3"/>
    </row>
    <row r="119" spans="2:9" ht="16.5" thickBot="1" x14ac:dyDescent="0.3">
      <c r="B119" s="130" t="s">
        <v>256</v>
      </c>
      <c r="C119" s="131"/>
      <c r="D119" s="131"/>
      <c r="E119" s="131"/>
      <c r="F119" s="132"/>
      <c r="G119" s="133" t="s">
        <v>5</v>
      </c>
      <c r="H119" s="133" t="s">
        <v>6</v>
      </c>
      <c r="I119" s="137" t="s">
        <v>227</v>
      </c>
    </row>
    <row r="120" spans="2:9" ht="16.5" thickBot="1" x14ac:dyDescent="0.3">
      <c r="B120" s="9" t="s">
        <v>0</v>
      </c>
      <c r="C120" s="69" t="s">
        <v>1</v>
      </c>
      <c r="D120" s="9" t="s">
        <v>2</v>
      </c>
      <c r="E120" s="9" t="s">
        <v>3</v>
      </c>
      <c r="F120" s="9" t="s">
        <v>4</v>
      </c>
      <c r="G120" s="134"/>
      <c r="H120" s="134"/>
      <c r="I120" s="138"/>
    </row>
    <row r="121" spans="2:9" ht="31.5" x14ac:dyDescent="0.25">
      <c r="B121" s="10">
        <v>1</v>
      </c>
      <c r="C121" s="81" t="s">
        <v>34</v>
      </c>
      <c r="D121" s="20" t="s">
        <v>35</v>
      </c>
      <c r="E121" s="93" t="s">
        <v>253</v>
      </c>
      <c r="F121" s="25">
        <v>9</v>
      </c>
      <c r="G121" s="10">
        <v>6</v>
      </c>
      <c r="H121" s="20" t="s">
        <v>17</v>
      </c>
      <c r="I121" s="20" t="s">
        <v>226</v>
      </c>
    </row>
    <row r="122" spans="2:9" x14ac:dyDescent="0.25">
      <c r="B122" s="11">
        <v>2</v>
      </c>
      <c r="C122" s="75" t="s">
        <v>42</v>
      </c>
      <c r="D122" s="21" t="s">
        <v>36</v>
      </c>
      <c r="E122" s="92" t="s">
        <v>253</v>
      </c>
      <c r="F122" s="23">
        <v>9</v>
      </c>
      <c r="G122" s="11">
        <v>5</v>
      </c>
      <c r="H122" s="21" t="s">
        <v>11</v>
      </c>
      <c r="I122" s="21" t="s">
        <v>268</v>
      </c>
    </row>
    <row r="123" spans="2:9" x14ac:dyDescent="0.25">
      <c r="B123" s="11">
        <v>3</v>
      </c>
      <c r="C123" s="75" t="s">
        <v>43</v>
      </c>
      <c r="D123" s="21" t="s">
        <v>37</v>
      </c>
      <c r="E123" s="92" t="s">
        <v>253</v>
      </c>
      <c r="F123" s="23">
        <v>9</v>
      </c>
      <c r="G123" s="11">
        <v>5</v>
      </c>
      <c r="H123" s="23" t="s">
        <v>11</v>
      </c>
      <c r="I123" s="23" t="s">
        <v>268</v>
      </c>
    </row>
    <row r="124" spans="2:9" x14ac:dyDescent="0.25">
      <c r="B124" s="11">
        <v>4</v>
      </c>
      <c r="C124" s="75" t="s">
        <v>44</v>
      </c>
      <c r="D124" s="21" t="s">
        <v>38</v>
      </c>
      <c r="E124" s="92" t="s">
        <v>253</v>
      </c>
      <c r="F124" s="23">
        <v>6</v>
      </c>
      <c r="G124" s="11">
        <v>4</v>
      </c>
      <c r="H124" s="23" t="s">
        <v>208</v>
      </c>
      <c r="I124" s="23" t="s">
        <v>243</v>
      </c>
    </row>
    <row r="125" spans="2:9" x14ac:dyDescent="0.25">
      <c r="B125" s="11">
        <v>5</v>
      </c>
      <c r="C125" s="75" t="s">
        <v>45</v>
      </c>
      <c r="D125" s="21" t="s">
        <v>39</v>
      </c>
      <c r="E125" s="92" t="s">
        <v>253</v>
      </c>
      <c r="F125" s="23">
        <v>6</v>
      </c>
      <c r="G125" s="11">
        <v>4</v>
      </c>
      <c r="H125" s="23" t="s">
        <v>203</v>
      </c>
      <c r="I125" s="23" t="s">
        <v>268</v>
      </c>
    </row>
    <row r="126" spans="2:9" x14ac:dyDescent="0.25">
      <c r="B126" s="11">
        <v>6</v>
      </c>
      <c r="C126" s="75" t="s">
        <v>46</v>
      </c>
      <c r="D126" s="21" t="s">
        <v>40</v>
      </c>
      <c r="E126" s="92" t="s">
        <v>253</v>
      </c>
      <c r="F126" s="23">
        <v>9</v>
      </c>
      <c r="G126" s="11">
        <v>6</v>
      </c>
      <c r="H126" s="23" t="s">
        <v>272</v>
      </c>
      <c r="I126" s="23" t="s">
        <v>268</v>
      </c>
    </row>
    <row r="127" spans="2:9" ht="16.5" thickBot="1" x14ac:dyDescent="0.3">
      <c r="B127" s="12">
        <v>7</v>
      </c>
      <c r="C127" s="82" t="s">
        <v>47</v>
      </c>
      <c r="D127" s="22" t="s">
        <v>41</v>
      </c>
      <c r="E127" s="12" t="s">
        <v>253</v>
      </c>
      <c r="F127" s="24">
        <v>9</v>
      </c>
      <c r="G127" s="12">
        <v>5</v>
      </c>
      <c r="H127" s="22" t="s">
        <v>204</v>
      </c>
      <c r="I127" s="22" t="s">
        <v>268</v>
      </c>
    </row>
    <row r="128" spans="2:9" s="122" customFormat="1" ht="16.5" thickBot="1" x14ac:dyDescent="0.3">
      <c r="B128" s="60"/>
      <c r="C128" s="61"/>
      <c r="D128" s="62"/>
      <c r="E128" s="65" t="s">
        <v>224</v>
      </c>
      <c r="F128" s="66">
        <f>SUM(F121:F127)</f>
        <v>57</v>
      </c>
      <c r="G128" s="63"/>
      <c r="H128" s="95" t="s">
        <v>258</v>
      </c>
      <c r="I128" s="64"/>
    </row>
    <row r="129" spans="2:9" x14ac:dyDescent="0.25">
      <c r="B129" s="2"/>
      <c r="C129" s="56"/>
      <c r="D129" s="56"/>
      <c r="E129" s="56"/>
      <c r="F129" s="56"/>
      <c r="G129" s="56"/>
      <c r="H129" s="56"/>
      <c r="I129" s="5"/>
    </row>
    <row r="130" spans="2:9" ht="16.5" thickBot="1" x14ac:dyDescent="0.3">
      <c r="B130" s="2"/>
      <c r="C130" s="56"/>
      <c r="D130" s="56"/>
      <c r="E130" s="56"/>
      <c r="F130" s="56"/>
      <c r="G130" s="56"/>
      <c r="H130" s="56"/>
      <c r="I130" s="5"/>
    </row>
    <row r="131" spans="2:9" ht="16.5" thickBot="1" x14ac:dyDescent="0.3">
      <c r="B131" s="130" t="s">
        <v>255</v>
      </c>
      <c r="C131" s="131"/>
      <c r="D131" s="131"/>
      <c r="E131" s="131"/>
      <c r="F131" s="132"/>
      <c r="G131" s="133" t="s">
        <v>5</v>
      </c>
      <c r="H131" s="133" t="s">
        <v>6</v>
      </c>
      <c r="I131" s="137" t="s">
        <v>227</v>
      </c>
    </row>
    <row r="132" spans="2:9" ht="16.5" thickBot="1" x14ac:dyDescent="0.3">
      <c r="B132" s="9" t="s">
        <v>0</v>
      </c>
      <c r="C132" s="69" t="s">
        <v>1</v>
      </c>
      <c r="D132" s="9" t="s">
        <v>2</v>
      </c>
      <c r="E132" s="9" t="s">
        <v>3</v>
      </c>
      <c r="F132" s="9" t="s">
        <v>4</v>
      </c>
      <c r="G132" s="134"/>
      <c r="H132" s="134"/>
      <c r="I132" s="138"/>
    </row>
    <row r="133" spans="2:9" ht="31.5" x14ac:dyDescent="0.25">
      <c r="B133" s="10">
        <v>1</v>
      </c>
      <c r="C133" s="81" t="s">
        <v>34</v>
      </c>
      <c r="D133" s="20" t="s">
        <v>48</v>
      </c>
      <c r="E133" s="93" t="s">
        <v>253</v>
      </c>
      <c r="F133" s="25">
        <v>9</v>
      </c>
      <c r="G133" s="10">
        <v>6</v>
      </c>
      <c r="H133" s="20" t="s">
        <v>17</v>
      </c>
      <c r="I133" s="20" t="s">
        <v>226</v>
      </c>
    </row>
    <row r="134" spans="2:9" x14ac:dyDescent="0.25">
      <c r="B134" s="11">
        <v>2</v>
      </c>
      <c r="C134" s="75" t="s">
        <v>42</v>
      </c>
      <c r="D134" s="21" t="s">
        <v>49</v>
      </c>
      <c r="E134" s="92" t="s">
        <v>253</v>
      </c>
      <c r="F134" s="23">
        <v>9</v>
      </c>
      <c r="G134" s="11">
        <v>6</v>
      </c>
      <c r="H134" s="21" t="s">
        <v>11</v>
      </c>
      <c r="I134" s="21" t="s">
        <v>268</v>
      </c>
    </row>
    <row r="135" spans="2:9" x14ac:dyDescent="0.25">
      <c r="B135" s="11">
        <v>3</v>
      </c>
      <c r="C135" s="75" t="s">
        <v>43</v>
      </c>
      <c r="D135" s="21" t="s">
        <v>50</v>
      </c>
      <c r="E135" s="92" t="s">
        <v>253</v>
      </c>
      <c r="F135" s="23">
        <v>9</v>
      </c>
      <c r="G135" s="11">
        <v>6</v>
      </c>
      <c r="H135" s="23" t="s">
        <v>11</v>
      </c>
      <c r="I135" s="23" t="s">
        <v>268</v>
      </c>
    </row>
    <row r="136" spans="2:9" x14ac:dyDescent="0.25">
      <c r="B136" s="11">
        <v>4</v>
      </c>
      <c r="C136" s="75" t="s">
        <v>44</v>
      </c>
      <c r="D136" s="21" t="s">
        <v>51</v>
      </c>
      <c r="E136" s="92" t="s">
        <v>253</v>
      </c>
      <c r="F136" s="23">
        <v>9</v>
      </c>
      <c r="G136" s="11">
        <v>5</v>
      </c>
      <c r="H136" s="23" t="s">
        <v>208</v>
      </c>
      <c r="I136" s="23" t="s">
        <v>243</v>
      </c>
    </row>
    <row r="137" spans="2:9" x14ac:dyDescent="0.25">
      <c r="B137" s="11">
        <v>5</v>
      </c>
      <c r="C137" s="75" t="s">
        <v>9</v>
      </c>
      <c r="D137" s="21" t="s">
        <v>52</v>
      </c>
      <c r="E137" s="92" t="s">
        <v>253</v>
      </c>
      <c r="F137" s="23">
        <v>6</v>
      </c>
      <c r="G137" s="11">
        <v>4</v>
      </c>
      <c r="H137" s="23" t="s">
        <v>203</v>
      </c>
      <c r="I137" s="23" t="s">
        <v>268</v>
      </c>
    </row>
    <row r="138" spans="2:9" ht="16.5" thickBot="1" x14ac:dyDescent="0.3">
      <c r="B138" s="12">
        <v>6</v>
      </c>
      <c r="C138" s="82" t="s">
        <v>46</v>
      </c>
      <c r="D138" s="22" t="s">
        <v>53</v>
      </c>
      <c r="E138" s="22" t="s">
        <v>253</v>
      </c>
      <c r="F138" s="24">
        <v>9</v>
      </c>
      <c r="G138" s="12">
        <v>6</v>
      </c>
      <c r="H138" s="22" t="s">
        <v>272</v>
      </c>
      <c r="I138" s="24" t="s">
        <v>268</v>
      </c>
    </row>
    <row r="139" spans="2:9" s="122" customFormat="1" ht="16.5" thickBot="1" x14ac:dyDescent="0.3">
      <c r="B139" s="60"/>
      <c r="C139" s="61"/>
      <c r="D139" s="62"/>
      <c r="E139" s="65" t="s">
        <v>224</v>
      </c>
      <c r="F139" s="66">
        <f>SUM(F133:F138)</f>
        <v>51</v>
      </c>
      <c r="G139" s="63"/>
      <c r="H139" s="95" t="s">
        <v>259</v>
      </c>
      <c r="I139" s="64"/>
    </row>
    <row r="140" spans="2:9" x14ac:dyDescent="0.25">
      <c r="B140" s="2"/>
      <c r="C140" s="56"/>
      <c r="D140" s="56"/>
      <c r="E140" s="56"/>
      <c r="F140" s="56"/>
      <c r="G140" s="56"/>
      <c r="H140" s="56"/>
      <c r="I140" s="5"/>
    </row>
    <row r="141" spans="2:9" ht="16.5" thickBot="1" x14ac:dyDescent="0.3">
      <c r="B141" s="2"/>
      <c r="C141" s="56"/>
      <c r="D141" s="56"/>
      <c r="E141" s="56"/>
      <c r="F141" s="56"/>
      <c r="G141" s="56"/>
      <c r="H141" s="56"/>
      <c r="I141" s="5"/>
    </row>
    <row r="142" spans="2:9" ht="16.5" thickBot="1" x14ac:dyDescent="0.3">
      <c r="B142" s="130" t="s">
        <v>254</v>
      </c>
      <c r="C142" s="131"/>
      <c r="D142" s="131"/>
      <c r="E142" s="131"/>
      <c r="F142" s="132"/>
      <c r="G142" s="133" t="s">
        <v>5</v>
      </c>
      <c r="H142" s="133" t="s">
        <v>6</v>
      </c>
      <c r="I142" s="137" t="s">
        <v>227</v>
      </c>
    </row>
    <row r="143" spans="2:9" ht="16.5" thickBot="1" x14ac:dyDescent="0.3">
      <c r="B143" s="9" t="s">
        <v>0</v>
      </c>
      <c r="C143" s="69" t="s">
        <v>1</v>
      </c>
      <c r="D143" s="9" t="s">
        <v>2</v>
      </c>
      <c r="E143" s="9" t="s">
        <v>3</v>
      </c>
      <c r="F143" s="9" t="s">
        <v>4</v>
      </c>
      <c r="G143" s="134"/>
      <c r="H143" s="134"/>
      <c r="I143" s="138"/>
    </row>
    <row r="144" spans="2:9" x14ac:dyDescent="0.25">
      <c r="B144" s="10">
        <v>1</v>
      </c>
      <c r="C144" s="70" t="s">
        <v>192</v>
      </c>
      <c r="D144" s="36" t="s">
        <v>193</v>
      </c>
      <c r="E144" s="93" t="s">
        <v>253</v>
      </c>
      <c r="F144" s="10">
        <v>9</v>
      </c>
      <c r="G144" s="10">
        <v>5</v>
      </c>
      <c r="H144" s="10" t="s">
        <v>169</v>
      </c>
      <c r="I144" s="10" t="s">
        <v>268</v>
      </c>
    </row>
    <row r="145" spans="2:9" x14ac:dyDescent="0.25">
      <c r="B145" s="11">
        <v>2</v>
      </c>
      <c r="C145" s="15" t="s">
        <v>16</v>
      </c>
      <c r="D145" s="32" t="s">
        <v>125</v>
      </c>
      <c r="E145" s="92" t="s">
        <v>253</v>
      </c>
      <c r="F145" s="32">
        <v>6</v>
      </c>
      <c r="G145" s="23">
        <v>4</v>
      </c>
      <c r="H145" s="32" t="s">
        <v>223</v>
      </c>
      <c r="I145" s="32" t="s">
        <v>268</v>
      </c>
    </row>
    <row r="146" spans="2:9" x14ac:dyDescent="0.25">
      <c r="B146" s="11">
        <v>3</v>
      </c>
      <c r="C146" s="83" t="s">
        <v>194</v>
      </c>
      <c r="D146" s="32" t="s">
        <v>126</v>
      </c>
      <c r="E146" s="92" t="s">
        <v>253</v>
      </c>
      <c r="F146" s="11">
        <v>6</v>
      </c>
      <c r="G146" s="11">
        <v>5</v>
      </c>
      <c r="H146" s="11" t="s">
        <v>205</v>
      </c>
      <c r="I146" s="11" t="s">
        <v>268</v>
      </c>
    </row>
    <row r="147" spans="2:9" x14ac:dyDescent="0.25">
      <c r="B147" s="11">
        <v>4</v>
      </c>
      <c r="C147" s="15" t="s">
        <v>42</v>
      </c>
      <c r="D147" s="32" t="s">
        <v>127</v>
      </c>
      <c r="E147" s="92" t="s">
        <v>253</v>
      </c>
      <c r="F147" s="30">
        <v>6</v>
      </c>
      <c r="G147" s="23">
        <v>4</v>
      </c>
      <c r="H147" s="32" t="s">
        <v>132</v>
      </c>
      <c r="I147" s="32" t="s">
        <v>268</v>
      </c>
    </row>
    <row r="148" spans="2:9" x14ac:dyDescent="0.25">
      <c r="B148" s="11">
        <v>5</v>
      </c>
      <c r="C148" s="15" t="s">
        <v>15</v>
      </c>
      <c r="D148" s="32" t="s">
        <v>128</v>
      </c>
      <c r="E148" s="92" t="s">
        <v>253</v>
      </c>
      <c r="F148" s="30">
        <v>6</v>
      </c>
      <c r="G148" s="23">
        <v>4</v>
      </c>
      <c r="H148" s="32" t="s">
        <v>13</v>
      </c>
      <c r="I148" s="32" t="s">
        <v>268</v>
      </c>
    </row>
    <row r="149" spans="2:9" x14ac:dyDescent="0.25">
      <c r="B149" s="11">
        <v>6</v>
      </c>
      <c r="C149" s="15" t="s">
        <v>133</v>
      </c>
      <c r="D149" s="32" t="s">
        <v>129</v>
      </c>
      <c r="E149" s="92" t="s">
        <v>253</v>
      </c>
      <c r="F149" s="32">
        <v>9</v>
      </c>
      <c r="G149" s="23">
        <v>6</v>
      </c>
      <c r="H149" s="30" t="s">
        <v>132</v>
      </c>
      <c r="I149" s="30" t="s">
        <v>268</v>
      </c>
    </row>
    <row r="150" spans="2:9" x14ac:dyDescent="0.25">
      <c r="B150" s="11">
        <v>7</v>
      </c>
      <c r="C150" s="15" t="s">
        <v>44</v>
      </c>
      <c r="D150" s="32" t="s">
        <v>130</v>
      </c>
      <c r="E150" s="92" t="s">
        <v>253</v>
      </c>
      <c r="F150" s="30">
        <v>6</v>
      </c>
      <c r="G150" s="23">
        <v>4</v>
      </c>
      <c r="H150" s="23" t="s">
        <v>208</v>
      </c>
      <c r="I150" s="23" t="s">
        <v>243</v>
      </c>
    </row>
    <row r="151" spans="2:9" ht="16.5" thickBot="1" x14ac:dyDescent="0.3">
      <c r="B151" s="12">
        <v>8</v>
      </c>
      <c r="C151" s="77" t="s">
        <v>195</v>
      </c>
      <c r="D151" s="37" t="s">
        <v>131</v>
      </c>
      <c r="E151" s="94" t="s">
        <v>253</v>
      </c>
      <c r="F151" s="31">
        <v>6</v>
      </c>
      <c r="G151" s="12">
        <v>4</v>
      </c>
      <c r="H151" s="37" t="s">
        <v>202</v>
      </c>
      <c r="I151" s="37" t="s">
        <v>268</v>
      </c>
    </row>
    <row r="152" spans="2:9" s="122" customFormat="1" ht="16.5" thickBot="1" x14ac:dyDescent="0.3">
      <c r="B152" s="60"/>
      <c r="C152" s="61"/>
      <c r="D152" s="62"/>
      <c r="E152" s="65" t="s">
        <v>224</v>
      </c>
      <c r="F152" s="66">
        <f>SUM(F144:F151)</f>
        <v>54</v>
      </c>
      <c r="G152" s="63"/>
      <c r="H152" s="95" t="s">
        <v>259</v>
      </c>
      <c r="I152" s="64"/>
    </row>
    <row r="153" spans="2:9" x14ac:dyDescent="0.25">
      <c r="B153" s="4"/>
      <c r="C153" s="96"/>
      <c r="D153" s="54"/>
      <c r="E153" s="52"/>
      <c r="F153" s="52"/>
      <c r="G153" s="52"/>
      <c r="H153" s="52"/>
      <c r="I153" s="103"/>
    </row>
    <row r="154" spans="2:9" ht="16.5" thickBot="1" x14ac:dyDescent="0.3">
      <c r="B154" s="4"/>
      <c r="C154" s="96"/>
      <c r="D154" s="54"/>
      <c r="E154" s="52"/>
      <c r="F154" s="52"/>
      <c r="G154" s="52"/>
      <c r="H154" s="52"/>
      <c r="I154" s="103"/>
    </row>
    <row r="155" spans="2:9" ht="16.5" thickBot="1" x14ac:dyDescent="0.3">
      <c r="B155" s="127" t="s">
        <v>262</v>
      </c>
      <c r="C155" s="128"/>
      <c r="D155" s="128"/>
      <c r="E155" s="128"/>
      <c r="F155" s="128"/>
      <c r="G155" s="128"/>
      <c r="H155" s="129"/>
      <c r="I155" s="103"/>
    </row>
    <row r="156" spans="2:9" ht="16.5" thickBot="1" x14ac:dyDescent="0.3">
      <c r="B156" s="139" t="s">
        <v>263</v>
      </c>
      <c r="C156" s="140"/>
      <c r="D156" s="140"/>
      <c r="E156" s="140"/>
      <c r="F156" s="141"/>
      <c r="G156" s="133" t="s">
        <v>5</v>
      </c>
      <c r="H156" s="133" t="s">
        <v>6</v>
      </c>
      <c r="I156" s="103"/>
    </row>
    <row r="157" spans="2:9" ht="16.5" thickBot="1" x14ac:dyDescent="0.3">
      <c r="B157" s="9" t="s">
        <v>0</v>
      </c>
      <c r="C157" s="69" t="s">
        <v>1</v>
      </c>
      <c r="D157" s="9" t="s">
        <v>2</v>
      </c>
      <c r="E157" s="9" t="s">
        <v>3</v>
      </c>
      <c r="F157" s="9" t="s">
        <v>4</v>
      </c>
      <c r="G157" s="134"/>
      <c r="H157" s="134"/>
      <c r="I157" s="103"/>
    </row>
    <row r="158" spans="2:9" ht="16.5" thickBot="1" x14ac:dyDescent="0.3">
      <c r="B158" s="10">
        <v>1</v>
      </c>
      <c r="C158" s="85" t="s">
        <v>32</v>
      </c>
      <c r="D158" s="11" t="s">
        <v>33</v>
      </c>
      <c r="E158" s="92" t="s">
        <v>253</v>
      </c>
      <c r="F158" s="11">
        <v>6</v>
      </c>
      <c r="G158" s="11">
        <v>3</v>
      </c>
      <c r="H158" s="20"/>
      <c r="I158" s="103"/>
    </row>
    <row r="159" spans="2:9" ht="16.5" thickBot="1" x14ac:dyDescent="0.3">
      <c r="B159" s="60"/>
      <c r="C159" s="61"/>
      <c r="D159" s="62"/>
      <c r="E159" s="65" t="s">
        <v>224</v>
      </c>
      <c r="F159" s="66">
        <f>SUM(F158:F158)</f>
        <v>6</v>
      </c>
      <c r="G159" s="63"/>
      <c r="H159" s="95" t="s">
        <v>251</v>
      </c>
      <c r="I159" s="103"/>
    </row>
    <row r="160" spans="2:9" x14ac:dyDescent="0.25">
      <c r="B160" s="4"/>
      <c r="C160" s="96"/>
      <c r="D160" s="54"/>
      <c r="E160" s="52"/>
      <c r="F160" s="52"/>
      <c r="G160" s="52"/>
      <c r="H160" s="52"/>
      <c r="I160" s="103"/>
    </row>
    <row r="161" spans="2:9" ht="16.5" thickBot="1" x14ac:dyDescent="0.3">
      <c r="B161" s="4"/>
      <c r="C161" s="96"/>
      <c r="D161" s="54"/>
      <c r="E161" s="52"/>
      <c r="F161" s="52"/>
      <c r="G161" s="52"/>
      <c r="H161" s="52"/>
      <c r="I161" s="103"/>
    </row>
    <row r="162" spans="2:9" ht="16.5" thickBot="1" x14ac:dyDescent="0.3">
      <c r="B162" s="130" t="s">
        <v>260</v>
      </c>
      <c r="C162" s="131"/>
      <c r="D162" s="131"/>
      <c r="E162" s="131"/>
      <c r="F162" s="132"/>
      <c r="G162" s="133" t="s">
        <v>5</v>
      </c>
      <c r="H162" s="133" t="s">
        <v>6</v>
      </c>
      <c r="I162" s="137" t="s">
        <v>227</v>
      </c>
    </row>
    <row r="163" spans="2:9" ht="16.5" thickBot="1" x14ac:dyDescent="0.3">
      <c r="B163" s="9" t="s">
        <v>0</v>
      </c>
      <c r="C163" s="69" t="s">
        <v>1</v>
      </c>
      <c r="D163" s="9" t="s">
        <v>2</v>
      </c>
      <c r="E163" s="9" t="s">
        <v>3</v>
      </c>
      <c r="F163" s="9" t="s">
        <v>4</v>
      </c>
      <c r="G163" s="134"/>
      <c r="H163" s="134"/>
      <c r="I163" s="138"/>
    </row>
    <row r="164" spans="2:9" x14ac:dyDescent="0.25">
      <c r="B164" s="10">
        <v>1</v>
      </c>
      <c r="C164" s="84" t="s">
        <v>134</v>
      </c>
      <c r="D164" s="36" t="s">
        <v>140</v>
      </c>
      <c r="E164" s="10">
        <v>8</v>
      </c>
      <c r="F164" s="29">
        <v>9</v>
      </c>
      <c r="G164" s="41">
        <v>6</v>
      </c>
      <c r="H164" s="36" t="s">
        <v>207</v>
      </c>
      <c r="I164" s="36" t="s">
        <v>268</v>
      </c>
    </row>
    <row r="165" spans="2:9" x14ac:dyDescent="0.25">
      <c r="B165" s="11">
        <v>2</v>
      </c>
      <c r="C165" s="15" t="s">
        <v>135</v>
      </c>
      <c r="D165" s="32" t="s">
        <v>141</v>
      </c>
      <c r="E165" s="11">
        <v>8</v>
      </c>
      <c r="F165" s="30">
        <v>8</v>
      </c>
      <c r="G165" s="42">
        <v>6</v>
      </c>
      <c r="H165" s="32" t="s">
        <v>13</v>
      </c>
      <c r="I165" s="32" t="s">
        <v>268</v>
      </c>
    </row>
    <row r="166" spans="2:9" x14ac:dyDescent="0.25">
      <c r="B166" s="11">
        <v>3</v>
      </c>
      <c r="C166" s="15" t="s">
        <v>136</v>
      </c>
      <c r="D166" s="32" t="s">
        <v>142</v>
      </c>
      <c r="E166" s="11">
        <v>8</v>
      </c>
      <c r="F166" s="30">
        <v>9</v>
      </c>
      <c r="G166" s="42">
        <v>6</v>
      </c>
      <c r="H166" s="32" t="s">
        <v>218</v>
      </c>
      <c r="I166" s="32" t="s">
        <v>268</v>
      </c>
    </row>
    <row r="167" spans="2:9" x14ac:dyDescent="0.25">
      <c r="B167" s="11">
        <v>4</v>
      </c>
      <c r="C167" s="15" t="s">
        <v>91</v>
      </c>
      <c r="D167" s="32" t="s">
        <v>143</v>
      </c>
      <c r="E167" s="11">
        <v>8</v>
      </c>
      <c r="F167" s="30">
        <v>6</v>
      </c>
      <c r="G167" s="42">
        <v>4</v>
      </c>
      <c r="H167" s="30" t="s">
        <v>132</v>
      </c>
      <c r="I167" s="30" t="s">
        <v>268</v>
      </c>
    </row>
    <row r="168" spans="2:9" x14ac:dyDescent="0.25">
      <c r="B168" s="11">
        <v>5</v>
      </c>
      <c r="C168" s="15" t="s">
        <v>137</v>
      </c>
      <c r="D168" s="32" t="s">
        <v>144</v>
      </c>
      <c r="E168" s="11">
        <v>8</v>
      </c>
      <c r="F168" s="30">
        <v>6</v>
      </c>
      <c r="G168" s="42">
        <v>4</v>
      </c>
      <c r="H168" s="32" t="s">
        <v>147</v>
      </c>
      <c r="I168" s="32" t="s">
        <v>268</v>
      </c>
    </row>
    <row r="169" spans="2:9" x14ac:dyDescent="0.25">
      <c r="B169" s="11">
        <v>6</v>
      </c>
      <c r="C169" s="15" t="s">
        <v>138</v>
      </c>
      <c r="D169" s="32" t="s">
        <v>145</v>
      </c>
      <c r="E169" s="11">
        <v>8</v>
      </c>
      <c r="F169" s="30">
        <v>9</v>
      </c>
      <c r="G169" s="42">
        <v>4</v>
      </c>
      <c r="H169" s="32" t="s">
        <v>218</v>
      </c>
      <c r="I169" s="32" t="s">
        <v>268</v>
      </c>
    </row>
    <row r="170" spans="2:9" ht="16.5" thickBot="1" x14ac:dyDescent="0.3">
      <c r="B170" s="12">
        <v>7</v>
      </c>
      <c r="C170" s="77" t="s">
        <v>139</v>
      </c>
      <c r="D170" s="37" t="s">
        <v>146</v>
      </c>
      <c r="E170" s="12">
        <v>8</v>
      </c>
      <c r="F170" s="31">
        <v>10</v>
      </c>
      <c r="G170" s="43">
        <v>4</v>
      </c>
      <c r="H170" s="37" t="s">
        <v>222</v>
      </c>
      <c r="I170" s="37" t="s">
        <v>268</v>
      </c>
    </row>
    <row r="171" spans="2:9" s="122" customFormat="1" ht="16.5" thickBot="1" x14ac:dyDescent="0.3">
      <c r="B171" s="60"/>
      <c r="C171" s="61"/>
      <c r="D171" s="62"/>
      <c r="E171" s="65" t="s">
        <v>224</v>
      </c>
      <c r="F171" s="66">
        <f>SUM(F164:F170)</f>
        <v>57</v>
      </c>
      <c r="G171" s="63"/>
      <c r="H171" s="95" t="s">
        <v>264</v>
      </c>
      <c r="I171" s="64"/>
    </row>
    <row r="172" spans="2:9" x14ac:dyDescent="0.25">
      <c r="B172" s="4"/>
      <c r="C172" s="96"/>
      <c r="D172" s="54"/>
      <c r="E172" s="52"/>
      <c r="F172" s="52"/>
      <c r="G172" s="52"/>
      <c r="H172" s="52"/>
      <c r="I172" s="103"/>
    </row>
    <row r="173" spans="2:9" ht="16.5" thickBot="1" x14ac:dyDescent="0.3">
      <c r="B173" s="4"/>
      <c r="C173" s="96"/>
      <c r="D173" s="54"/>
      <c r="E173" s="52"/>
      <c r="F173" s="52"/>
      <c r="G173" s="52"/>
      <c r="H173" s="52"/>
      <c r="I173" s="103"/>
    </row>
    <row r="174" spans="2:9" ht="16.5" thickBot="1" x14ac:dyDescent="0.3">
      <c r="B174" s="130" t="s">
        <v>261</v>
      </c>
      <c r="C174" s="131"/>
      <c r="D174" s="131"/>
      <c r="E174" s="131"/>
      <c r="F174" s="132"/>
      <c r="G174" s="133" t="s">
        <v>5</v>
      </c>
      <c r="H174" s="133" t="s">
        <v>6</v>
      </c>
      <c r="I174" s="137" t="s">
        <v>227</v>
      </c>
    </row>
    <row r="175" spans="2:9" ht="16.5" thickBot="1" x14ac:dyDescent="0.3">
      <c r="B175" s="9" t="s">
        <v>0</v>
      </c>
      <c r="C175" s="69" t="s">
        <v>1</v>
      </c>
      <c r="D175" s="9" t="s">
        <v>2</v>
      </c>
      <c r="E175" s="9" t="s">
        <v>3</v>
      </c>
      <c r="F175" s="9" t="s">
        <v>4</v>
      </c>
      <c r="G175" s="134"/>
      <c r="H175" s="134"/>
      <c r="I175" s="138"/>
    </row>
    <row r="176" spans="2:9" x14ac:dyDescent="0.25">
      <c r="B176" s="10">
        <v>1</v>
      </c>
      <c r="C176" s="84" t="s">
        <v>134</v>
      </c>
      <c r="D176" s="36" t="s">
        <v>148</v>
      </c>
      <c r="E176" s="10">
        <v>8</v>
      </c>
      <c r="F176" s="29">
        <v>6</v>
      </c>
      <c r="G176" s="41">
        <v>4</v>
      </c>
      <c r="H176" s="36" t="s">
        <v>207</v>
      </c>
      <c r="I176" s="36" t="s">
        <v>268</v>
      </c>
    </row>
    <row r="177" spans="2:9" x14ac:dyDescent="0.25">
      <c r="B177" s="11">
        <v>2</v>
      </c>
      <c r="C177" s="15" t="s">
        <v>164</v>
      </c>
      <c r="D177" s="32" t="s">
        <v>148</v>
      </c>
      <c r="E177" s="11">
        <v>8</v>
      </c>
      <c r="F177" s="30">
        <v>6</v>
      </c>
      <c r="G177" s="42">
        <v>4</v>
      </c>
      <c r="H177" s="32" t="s">
        <v>19</v>
      </c>
      <c r="I177" s="32" t="s">
        <v>268</v>
      </c>
    </row>
    <row r="178" spans="2:9" x14ac:dyDescent="0.25">
      <c r="B178" s="11">
        <v>3</v>
      </c>
      <c r="C178" s="15" t="s">
        <v>124</v>
      </c>
      <c r="D178" s="32" t="s">
        <v>149</v>
      </c>
      <c r="E178" s="11">
        <v>8</v>
      </c>
      <c r="F178" s="30">
        <v>6</v>
      </c>
      <c r="G178" s="42">
        <v>4</v>
      </c>
      <c r="H178" s="32" t="s">
        <v>17</v>
      </c>
      <c r="I178" s="32" t="s">
        <v>268</v>
      </c>
    </row>
    <row r="179" spans="2:9" x14ac:dyDescent="0.25">
      <c r="B179" s="11">
        <v>4</v>
      </c>
      <c r="C179" s="15" t="s">
        <v>7</v>
      </c>
      <c r="D179" s="32" t="s">
        <v>150</v>
      </c>
      <c r="E179" s="11">
        <v>8</v>
      </c>
      <c r="F179" s="30">
        <v>8</v>
      </c>
      <c r="G179" s="42">
        <v>6</v>
      </c>
      <c r="H179" s="30" t="s">
        <v>210</v>
      </c>
      <c r="I179" s="30" t="s">
        <v>268</v>
      </c>
    </row>
    <row r="180" spans="2:9" x14ac:dyDescent="0.25">
      <c r="B180" s="11">
        <v>5</v>
      </c>
      <c r="C180" s="15" t="s">
        <v>165</v>
      </c>
      <c r="D180" s="32" t="s">
        <v>151</v>
      </c>
      <c r="E180" s="11">
        <v>8</v>
      </c>
      <c r="F180" s="30">
        <v>8</v>
      </c>
      <c r="G180" s="42">
        <v>6</v>
      </c>
      <c r="H180" s="32" t="s">
        <v>206</v>
      </c>
      <c r="I180" s="32" t="s">
        <v>268</v>
      </c>
    </row>
    <row r="181" spans="2:9" x14ac:dyDescent="0.25">
      <c r="B181" s="11">
        <v>6</v>
      </c>
      <c r="C181" s="15" t="s">
        <v>166</v>
      </c>
      <c r="D181" s="32" t="s">
        <v>152</v>
      </c>
      <c r="E181" s="11">
        <v>8</v>
      </c>
      <c r="F181" s="30">
        <v>8</v>
      </c>
      <c r="G181" s="42">
        <v>6</v>
      </c>
      <c r="H181" s="32" t="s">
        <v>119</v>
      </c>
      <c r="I181" s="32" t="s">
        <v>268</v>
      </c>
    </row>
    <row r="182" spans="2:9" x14ac:dyDescent="0.25">
      <c r="B182" s="11">
        <v>7</v>
      </c>
      <c r="C182" s="15" t="s">
        <v>163</v>
      </c>
      <c r="D182" s="32" t="s">
        <v>153</v>
      </c>
      <c r="E182" s="11">
        <v>8</v>
      </c>
      <c r="F182" s="30">
        <v>3</v>
      </c>
      <c r="G182" s="42">
        <v>2</v>
      </c>
      <c r="H182" s="23" t="s">
        <v>12</v>
      </c>
      <c r="I182" s="23" t="s">
        <v>268</v>
      </c>
    </row>
    <row r="183" spans="2:9" x14ac:dyDescent="0.25">
      <c r="B183" s="11">
        <v>8</v>
      </c>
      <c r="C183" s="15" t="s">
        <v>160</v>
      </c>
      <c r="D183" s="32" t="s">
        <v>154</v>
      </c>
      <c r="E183" s="11">
        <v>8</v>
      </c>
      <c r="F183" s="30">
        <v>4</v>
      </c>
      <c r="G183" s="11">
        <v>3</v>
      </c>
      <c r="H183" s="11" t="s">
        <v>168</v>
      </c>
      <c r="I183" s="11" t="s">
        <v>268</v>
      </c>
    </row>
    <row r="184" spans="2:9" x14ac:dyDescent="0.25">
      <c r="B184" s="11">
        <v>9</v>
      </c>
      <c r="C184" s="15" t="s">
        <v>161</v>
      </c>
      <c r="D184" s="32" t="s">
        <v>155</v>
      </c>
      <c r="E184" s="11">
        <v>8</v>
      </c>
      <c r="F184" s="30">
        <v>8</v>
      </c>
      <c r="G184" s="11">
        <v>4</v>
      </c>
      <c r="H184" s="11" t="s">
        <v>214</v>
      </c>
      <c r="I184" s="11" t="s">
        <v>268</v>
      </c>
    </row>
    <row r="185" spans="2:9" x14ac:dyDescent="0.25">
      <c r="B185" s="11">
        <v>10</v>
      </c>
      <c r="C185" s="15" t="s">
        <v>162</v>
      </c>
      <c r="D185" s="32" t="s">
        <v>156</v>
      </c>
      <c r="E185" s="11">
        <v>8</v>
      </c>
      <c r="F185" s="30">
        <v>6</v>
      </c>
      <c r="G185" s="11">
        <v>4</v>
      </c>
      <c r="H185" s="11" t="s">
        <v>22</v>
      </c>
      <c r="I185" s="11" t="s">
        <v>268</v>
      </c>
    </row>
    <row r="186" spans="2:9" x14ac:dyDescent="0.25">
      <c r="B186" s="11">
        <v>11</v>
      </c>
      <c r="C186" s="15" t="s">
        <v>167</v>
      </c>
      <c r="D186" s="32" t="s">
        <v>157</v>
      </c>
      <c r="E186" s="11">
        <v>8</v>
      </c>
      <c r="F186" s="30">
        <v>3</v>
      </c>
      <c r="G186" s="11">
        <v>2</v>
      </c>
      <c r="H186" s="11" t="s">
        <v>203</v>
      </c>
      <c r="I186" s="11" t="s">
        <v>243</v>
      </c>
    </row>
    <row r="187" spans="2:9" ht="16.5" thickBot="1" x14ac:dyDescent="0.3">
      <c r="B187" s="12">
        <v>12</v>
      </c>
      <c r="C187" s="77" t="s">
        <v>159</v>
      </c>
      <c r="D187" s="37" t="s">
        <v>158</v>
      </c>
      <c r="E187" s="12">
        <v>8</v>
      </c>
      <c r="F187" s="31">
        <v>6</v>
      </c>
      <c r="G187" s="12">
        <v>4</v>
      </c>
      <c r="H187" s="12" t="s">
        <v>22</v>
      </c>
      <c r="I187" s="12" t="s">
        <v>268</v>
      </c>
    </row>
    <row r="188" spans="2:9" s="122" customFormat="1" ht="16.5" thickBot="1" x14ac:dyDescent="0.3">
      <c r="B188" s="60"/>
      <c r="C188" s="61"/>
      <c r="D188" s="62"/>
      <c r="E188" s="65" t="s">
        <v>224</v>
      </c>
      <c r="F188" s="66">
        <f>SUM(F176:F187)</f>
        <v>72</v>
      </c>
      <c r="G188" s="63"/>
      <c r="H188" s="95" t="s">
        <v>259</v>
      </c>
      <c r="I188" s="64"/>
    </row>
    <row r="189" spans="2:9" x14ac:dyDescent="0.25">
      <c r="B189" s="4"/>
      <c r="C189" s="96"/>
      <c r="D189" s="97"/>
      <c r="E189" s="52"/>
      <c r="F189" s="52"/>
      <c r="G189" s="52"/>
      <c r="H189" s="52"/>
      <c r="I189" s="103"/>
    </row>
    <row r="190" spans="2:9" ht="16.5" thickBot="1" x14ac:dyDescent="0.3">
      <c r="B190" s="4"/>
      <c r="C190" s="96"/>
      <c r="D190" s="97"/>
      <c r="E190" s="52"/>
      <c r="F190" s="52"/>
      <c r="G190" s="52"/>
      <c r="H190" s="52"/>
      <c r="I190" s="103"/>
    </row>
    <row r="191" spans="2:9" ht="16.5" thickBot="1" x14ac:dyDescent="0.3">
      <c r="B191" s="127" t="s">
        <v>265</v>
      </c>
      <c r="C191" s="128"/>
      <c r="D191" s="128"/>
      <c r="E191" s="128"/>
      <c r="F191" s="128"/>
      <c r="G191" s="128"/>
      <c r="H191" s="129"/>
      <c r="I191" s="103"/>
    </row>
    <row r="192" spans="2:9" ht="16.5" thickBot="1" x14ac:dyDescent="0.3">
      <c r="B192" s="130" t="s">
        <v>269</v>
      </c>
      <c r="C192" s="131"/>
      <c r="D192" s="131"/>
      <c r="E192" s="131"/>
      <c r="F192" s="132"/>
      <c r="G192" s="133" t="s">
        <v>5</v>
      </c>
      <c r="H192" s="133" t="s">
        <v>6</v>
      </c>
      <c r="I192" s="103"/>
    </row>
    <row r="193" spans="2:10" ht="16.5" thickBot="1" x14ac:dyDescent="0.3">
      <c r="B193" s="9" t="s">
        <v>0</v>
      </c>
      <c r="C193" s="69" t="s">
        <v>1</v>
      </c>
      <c r="D193" s="9" t="s">
        <v>2</v>
      </c>
      <c r="E193" s="9" t="s">
        <v>3</v>
      </c>
      <c r="F193" s="9" t="s">
        <v>4</v>
      </c>
      <c r="G193" s="134"/>
      <c r="H193" s="134"/>
      <c r="I193" s="103"/>
    </row>
    <row r="194" spans="2:10" ht="16.5" thickBot="1" x14ac:dyDescent="0.3">
      <c r="B194" s="10">
        <v>1</v>
      </c>
      <c r="C194" s="86" t="s">
        <v>20</v>
      </c>
      <c r="D194" s="27" t="s">
        <v>186</v>
      </c>
      <c r="E194" s="26">
        <v>8</v>
      </c>
      <c r="F194" s="28">
        <v>5</v>
      </c>
      <c r="G194" s="26">
        <v>3</v>
      </c>
      <c r="H194" s="20"/>
      <c r="I194" s="103"/>
    </row>
    <row r="195" spans="2:10" ht="16.5" thickBot="1" x14ac:dyDescent="0.3">
      <c r="B195" s="60"/>
      <c r="C195" s="61"/>
      <c r="D195" s="62"/>
      <c r="E195" s="65" t="s">
        <v>224</v>
      </c>
      <c r="F195" s="66">
        <f>SUM(F194)</f>
        <v>5</v>
      </c>
      <c r="G195" s="63"/>
      <c r="H195" s="67" t="s">
        <v>266</v>
      </c>
      <c r="I195" s="103"/>
    </row>
    <row r="196" spans="2:10" x14ac:dyDescent="0.25">
      <c r="B196" s="4"/>
      <c r="C196" s="96"/>
      <c r="D196" s="97"/>
      <c r="E196" s="52"/>
      <c r="F196" s="52"/>
      <c r="G196" s="52"/>
      <c r="H196" s="52"/>
      <c r="I196" s="103"/>
    </row>
    <row r="197" spans="2:10" x14ac:dyDescent="0.25">
      <c r="B197" s="4"/>
      <c r="C197" s="89"/>
      <c r="D197" s="54"/>
      <c r="E197" s="52"/>
      <c r="F197" s="52"/>
      <c r="G197" s="52"/>
      <c r="H197" s="52"/>
      <c r="I197" s="103"/>
    </row>
    <row r="198" spans="2:10" x14ac:dyDescent="0.25">
      <c r="B198" s="98" t="s">
        <v>25</v>
      </c>
      <c r="C198" s="104"/>
      <c r="D198" s="7" t="s">
        <v>26</v>
      </c>
      <c r="E198" s="7"/>
      <c r="F198" s="105"/>
      <c r="G198" s="105"/>
      <c r="H198" s="105" t="s">
        <v>27</v>
      </c>
      <c r="I198" s="45" t="s">
        <v>26</v>
      </c>
      <c r="J198" s="125"/>
    </row>
    <row r="199" spans="2:10" x14ac:dyDescent="0.25">
      <c r="B199" s="98"/>
      <c r="C199" s="104"/>
      <c r="D199" s="105"/>
      <c r="E199" s="105"/>
      <c r="F199" s="105"/>
      <c r="G199" s="105"/>
      <c r="H199" s="105"/>
      <c r="I199" s="46"/>
      <c r="J199" s="125"/>
    </row>
    <row r="200" spans="2:10" ht="16.5" thickBot="1" x14ac:dyDescent="0.3">
      <c r="B200" s="99" t="s">
        <v>28</v>
      </c>
      <c r="C200" s="100"/>
      <c r="D200" s="8" t="s">
        <v>29</v>
      </c>
      <c r="E200" s="8"/>
      <c r="F200" s="106"/>
      <c r="G200" s="8"/>
      <c r="H200" s="8" t="s">
        <v>30</v>
      </c>
      <c r="I200" s="47" t="s">
        <v>29</v>
      </c>
      <c r="J200" s="125"/>
    </row>
  </sheetData>
  <mergeCells count="96">
    <mergeCell ref="I74:I75"/>
    <mergeCell ref="B85:H85"/>
    <mergeCell ref="B86:F86"/>
    <mergeCell ref="B5:I5"/>
    <mergeCell ref="C9:C10"/>
    <mergeCell ref="B9:B10"/>
    <mergeCell ref="D9:D10"/>
    <mergeCell ref="E9:E10"/>
    <mergeCell ref="F9:F10"/>
    <mergeCell ref="H28:H29"/>
    <mergeCell ref="I28:I29"/>
    <mergeCell ref="B21:F21"/>
    <mergeCell ref="G21:G22"/>
    <mergeCell ref="H21:H22"/>
    <mergeCell ref="B47:F47"/>
    <mergeCell ref="G47:G48"/>
    <mergeCell ref="B155:H155"/>
    <mergeCell ref="B74:B75"/>
    <mergeCell ref="G9:G10"/>
    <mergeCell ref="B110:H110"/>
    <mergeCell ref="B111:F111"/>
    <mergeCell ref="G111:G112"/>
    <mergeCell ref="H111:H112"/>
    <mergeCell ref="B119:F119"/>
    <mergeCell ref="G119:G120"/>
    <mergeCell ref="H119:H120"/>
    <mergeCell ref="E74:E75"/>
    <mergeCell ref="D74:D75"/>
    <mergeCell ref="C74:C75"/>
    <mergeCell ref="B12:B13"/>
    <mergeCell ref="G12:G13"/>
    <mergeCell ref="F12:F13"/>
    <mergeCell ref="B2:I2"/>
    <mergeCell ref="B3:I3"/>
    <mergeCell ref="B4:I4"/>
    <mergeCell ref="G74:G75"/>
    <mergeCell ref="F74:F75"/>
    <mergeCell ref="E12:E13"/>
    <mergeCell ref="D12:D13"/>
    <mergeCell ref="C12:C13"/>
    <mergeCell ref="B6:F6"/>
    <mergeCell ref="G6:G7"/>
    <mergeCell ref="H6:H7"/>
    <mergeCell ref="I6:I7"/>
    <mergeCell ref="B20:H20"/>
    <mergeCell ref="B28:F28"/>
    <mergeCell ref="G28:G29"/>
    <mergeCell ref="H47:H48"/>
    <mergeCell ref="I47:I48"/>
    <mergeCell ref="B39:H39"/>
    <mergeCell ref="B40:F40"/>
    <mergeCell ref="G40:G41"/>
    <mergeCell ref="H40:H41"/>
    <mergeCell ref="B60:F60"/>
    <mergeCell ref="G60:G61"/>
    <mergeCell ref="H60:H61"/>
    <mergeCell ref="I60:I61"/>
    <mergeCell ref="B71:F71"/>
    <mergeCell ref="G71:G72"/>
    <mergeCell ref="H71:H72"/>
    <mergeCell ref="I71:I72"/>
    <mergeCell ref="G86:G87"/>
    <mergeCell ref="H86:H87"/>
    <mergeCell ref="B93:I93"/>
    <mergeCell ref="B94:I94"/>
    <mergeCell ref="B95:I95"/>
    <mergeCell ref="B96:I96"/>
    <mergeCell ref="B97:F97"/>
    <mergeCell ref="G97:G98"/>
    <mergeCell ref="H97:H98"/>
    <mergeCell ref="I97:I98"/>
    <mergeCell ref="I119:I120"/>
    <mergeCell ref="B131:F131"/>
    <mergeCell ref="G131:G132"/>
    <mergeCell ref="H131:H132"/>
    <mergeCell ref="I131:I132"/>
    <mergeCell ref="H162:H163"/>
    <mergeCell ref="I162:I163"/>
    <mergeCell ref="B156:F156"/>
    <mergeCell ref="G156:G157"/>
    <mergeCell ref="H156:H157"/>
    <mergeCell ref="B191:H191"/>
    <mergeCell ref="B192:F192"/>
    <mergeCell ref="G192:G193"/>
    <mergeCell ref="H192:H193"/>
    <mergeCell ref="I15:I16"/>
    <mergeCell ref="B174:F174"/>
    <mergeCell ref="G174:G175"/>
    <mergeCell ref="H174:H175"/>
    <mergeCell ref="I174:I175"/>
    <mergeCell ref="B142:F142"/>
    <mergeCell ref="G142:G143"/>
    <mergeCell ref="H142:H143"/>
    <mergeCell ref="I142:I143"/>
    <mergeCell ref="B162:F162"/>
    <mergeCell ref="G162:G163"/>
  </mergeCells>
  <phoneticPr fontId="3" type="noConversion"/>
  <pageMargins left="0.7" right="0.7" top="0.75" bottom="0.75" header="0.3" footer="0.3"/>
  <pageSetup scale="37" orientation="portrait" r:id="rId1"/>
  <rowBreaks count="1" manualBreakCount="1">
    <brk id="92" min="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CIVIL + TRANSPORTATION</vt:lpstr>
      <vt:lpstr>'CIVIL + TRANSPORTATION'!Print_Area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MAGIGE</dc:creator>
  <cp:lastModifiedBy>GEORGE KITANGE</cp:lastModifiedBy>
  <cp:lastPrinted>2024-08-15T15:25:31Z</cp:lastPrinted>
  <dcterms:created xsi:type="dcterms:W3CDTF">2023-08-14T10:12:05Z</dcterms:created>
  <dcterms:modified xsi:type="dcterms:W3CDTF">2024-10-18T09:59:38Z</dcterms:modified>
</cp:coreProperties>
</file>